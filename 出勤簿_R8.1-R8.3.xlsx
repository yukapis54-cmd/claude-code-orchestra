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計算期間" sheetId="1" state="visible" r:id="rId1"/>
    <sheet name="R8.1" sheetId="2" state="visible" r:id="rId2"/>
    <sheet name="R8.2" sheetId="3" state="visible" r:id="rId3"/>
    <sheet name="R8.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"/>
    <numFmt numFmtId="166" formatCode="[h]:mm"/>
  </numFmts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9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4EA"/>
      </patternFill>
    </fill>
    <fill>
      <patternFill patternType="solid">
        <fgColor rgb="00FFF2CC"/>
      </patternFill>
    </fill>
    <fill>
      <patternFill patternType="solid">
        <fgColor rgb="00FFE2E2"/>
      </patternFill>
    </fill>
    <fill>
      <patternFill patternType="solid">
        <fgColor rgb="00FFFF6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6" fontId="0" fillId="6" borderId="1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165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6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6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賃金計算期間</t>
        </is>
      </c>
      <c r="B1" s="1" t="inlineStr">
        <is>
          <t>R8.1</t>
        </is>
      </c>
      <c r="C1" s="1" t="inlineStr">
        <is>
          <t>R8.2</t>
        </is>
      </c>
      <c r="D1" s="1" t="inlineStr">
        <is>
          <t>R8.3</t>
        </is>
      </c>
    </row>
    <row r="2">
      <c r="A2" s="1" t="inlineStr">
        <is>
          <t>労働日数</t>
        </is>
      </c>
      <c r="B2" s="2">
        <f>COUNTIF('R8.1'!F4:F34,"&gt;0")&amp;"日"</f>
        <v/>
      </c>
      <c r="C2" s="2">
        <f>COUNTIF('R8.2'!F4:F31,"&gt;0")&amp;"日"</f>
        <v/>
      </c>
      <c r="D2" s="2">
        <f>COUNTIF('R8.3'!F4:F34,"&gt;0")&amp;"日"</f>
        <v/>
      </c>
    </row>
    <row r="3">
      <c r="A3" s="1" t="inlineStr">
        <is>
          <t>労働時間数</t>
        </is>
      </c>
      <c r="B3" s="3">
        <f>SUM('R8.1'!F4:F34)</f>
        <v/>
      </c>
      <c r="C3" s="3">
        <f>SUM('R8.2'!F4:F31)</f>
        <v/>
      </c>
      <c r="D3" s="3">
        <f>SUM('R8.3'!F4:F34)</f>
        <v/>
      </c>
    </row>
    <row r="4">
      <c r="A4" s="1" t="inlineStr">
        <is>
          <t>休日労働時間数</t>
        </is>
      </c>
      <c r="B4" s="3">
        <f>SUM('R8.1'!G4:G34)</f>
        <v/>
      </c>
      <c r="C4" s="3">
        <f>SUM('R8.2'!G4:G31)</f>
        <v/>
      </c>
      <c r="D4" s="3">
        <f>SUM('R8.3'!G4:G34)</f>
        <v/>
      </c>
    </row>
    <row r="5">
      <c r="A5" s="1" t="inlineStr">
        <is>
          <t>時間外労働時間数</t>
        </is>
      </c>
      <c r="B5" s="3">
        <f>SUM('R8.1'!H4:H34)</f>
        <v/>
      </c>
      <c r="C5" s="3">
        <f>SUM('R8.2'!H4:H31)</f>
        <v/>
      </c>
      <c r="D5" s="3">
        <f>SUM('R8.3'!H4:H34)</f>
        <v/>
      </c>
    </row>
    <row r="6">
      <c r="A6" s="1" t="inlineStr">
        <is>
          <t>深夜労働時間数</t>
        </is>
      </c>
      <c r="B6" s="3">
        <f>SUM('R8.1'!I4:I34)</f>
        <v/>
      </c>
      <c r="C6" s="3">
        <f>SUM('R8.2'!I4:I31)</f>
        <v/>
      </c>
      <c r="D6" s="3">
        <f>SUM('R8.3'!I4:I34)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4" customWidth="1" min="8" max="8"/>
    <col width="12" customWidth="1" min="9" max="9"/>
    <col width="16" customWidth="1" min="10" max="10"/>
    <col hidden="1" width="11" customWidth="1" min="11" max="11"/>
  </cols>
  <sheetData>
    <row r="1" ht="22" customHeight="1">
      <c r="A1" s="4" t="inlineStr">
        <is>
          <t>出勤簿  R8.1 (2026年1月)</t>
        </is>
      </c>
    </row>
    <row r="2">
      <c r="A2" s="5" t="inlineStr">
        <is>
          <t>※ 緑色セル(始業・終業)を編集すると 休憩・労働時間・残業・深夜・合計が自動再計算されます</t>
        </is>
      </c>
    </row>
    <row r="3">
      <c r="A3" s="1" t="inlineStr">
        <is>
          <t>日付</t>
        </is>
      </c>
      <c r="B3" s="1" t="inlineStr">
        <is>
          <t>曜日</t>
        </is>
      </c>
      <c r="C3" s="1" t="inlineStr">
        <is>
          <t>始業</t>
        </is>
      </c>
      <c r="D3" s="1" t="inlineStr">
        <is>
          <t>終業</t>
        </is>
      </c>
      <c r="E3" s="1" t="inlineStr">
        <is>
          <t>休憩</t>
        </is>
      </c>
      <c r="F3" s="1" t="inlineStr">
        <is>
          <t>労働時間</t>
        </is>
      </c>
      <c r="G3" s="1" t="inlineStr">
        <is>
          <t>休日労働時間</t>
        </is>
      </c>
      <c r="H3" s="1" t="inlineStr">
        <is>
          <t>時間外労働時間</t>
        </is>
      </c>
      <c r="I3" s="1" t="inlineStr">
        <is>
          <t>深夜労働時間</t>
        </is>
      </c>
      <c r="J3" s="1" t="inlineStr">
        <is>
          <t>備考</t>
        </is>
      </c>
      <c r="K3" s="1" t="inlineStr">
        <is>
          <t>週開始(月)</t>
        </is>
      </c>
    </row>
    <row r="4">
      <c r="A4" s="6" t="n">
        <v>46023</v>
      </c>
      <c r="B4" s="7">
        <f>TEXT(A4,"aaa")</f>
        <v/>
      </c>
      <c r="C4" s="8" t="n"/>
      <c r="D4" s="8" t="n"/>
      <c r="E4" s="9">
        <f>IFERROR(IF(D4-C4&gt;TIME(9,0,0),TIME(1,0,0),IF(D4-C4&gt;TIME(6,0,0),TIME(0,45,0),0)),0)</f>
        <v/>
      </c>
      <c r="F4" s="9">
        <f>IFERROR(IF(OR(C4="",D4="",D4&lt;=C4),0,D4-C4-E4),0)</f>
        <v/>
      </c>
      <c r="G4" s="9" t="n">
        <v>0</v>
      </c>
      <c r="H4" s="9">
        <f>IFERROR(MIN(F4,MAX(0,SUMIFS(F$4:F4,K$4:K4,K4)-TIME(0,0,0)-40/24)),0)</f>
        <v/>
      </c>
      <c r="I4" s="9">
        <f>IFERROR(IF(F4=0,0,MAX(0,MIN(D4,29/24)-MAX(C4,22/24))),0)</f>
        <v/>
      </c>
      <c r="J4" s="7" t="inlineStr">
        <is>
          <t>元日</t>
        </is>
      </c>
      <c r="K4" s="6">
        <f>IFERROR(A4-WEEKDAY(A4,2)+1,"")</f>
        <v/>
      </c>
    </row>
    <row r="5">
      <c r="A5" s="10" t="n">
        <v>46024</v>
      </c>
      <c r="B5" s="11">
        <f>TEXT(A5,"aaa")</f>
        <v/>
      </c>
      <c r="C5" s="8" t="n">
        <v>0.2916666666666667</v>
      </c>
      <c r="D5" s="8" t="n">
        <v>0.59375</v>
      </c>
      <c r="E5" s="12">
        <f>IFERROR(IF(D5-C5&gt;TIME(9,0,0),TIME(1,0,0),IF(D5-C5&gt;TIME(6,0,0),TIME(0,45,0),0)),0)</f>
        <v/>
      </c>
      <c r="F5" s="12">
        <f>IFERROR(IF(OR(C5="",D5="",D5&lt;=C5),0,D5-C5-E5),0)</f>
        <v/>
      </c>
      <c r="G5" s="12" t="n">
        <v>0</v>
      </c>
      <c r="H5" s="12">
        <f>IFERROR(MIN(F5,MAX(0,SUMIFS(F$4:F5,K$4:K5,K5)-TIME(0,0,0)-40/24)),0)</f>
        <v/>
      </c>
      <c r="I5" s="12">
        <f>IFERROR(IF(F5=0,0,MAX(0,MIN(D5,29/24)-MAX(C5,22/24))),0)</f>
        <v/>
      </c>
      <c r="J5" s="11" t="inlineStr"/>
      <c r="K5" s="10">
        <f>IFERROR(A5-WEEKDAY(A5,2)+1,"")</f>
        <v/>
      </c>
    </row>
    <row r="6">
      <c r="A6" s="10" t="n">
        <v>46025</v>
      </c>
      <c r="B6" s="11">
        <f>TEXT(A6,"aaa")</f>
        <v/>
      </c>
      <c r="C6" s="8" t="n">
        <v>0.2916666666666667</v>
      </c>
      <c r="D6" s="8" t="n">
        <v>0.59375</v>
      </c>
      <c r="E6" s="12">
        <f>IFERROR(IF(D6-C6&gt;TIME(9,0,0),TIME(1,0,0),IF(D6-C6&gt;TIME(6,0,0),TIME(0,45,0),0)),0)</f>
        <v/>
      </c>
      <c r="F6" s="12">
        <f>IFERROR(IF(OR(C6="",D6="",D6&lt;=C6),0,D6-C6-E6),0)</f>
        <v/>
      </c>
      <c r="G6" s="12" t="n">
        <v>0</v>
      </c>
      <c r="H6" s="12">
        <f>IFERROR(MIN(F6,MAX(0,SUMIFS(F$4:F6,K$4:K6,K6)-TIME(0,0,0)-40/24)),0)</f>
        <v/>
      </c>
      <c r="I6" s="12">
        <f>IFERROR(IF(F6=0,0,MAX(0,MIN(D6,29/24)-MAX(C6,22/24))),0)</f>
        <v/>
      </c>
      <c r="J6" s="11" t="inlineStr"/>
      <c r="K6" s="10">
        <f>IFERROR(A6-WEEKDAY(A6,2)+1,"")</f>
        <v/>
      </c>
    </row>
    <row r="7">
      <c r="A7" s="13" t="n">
        <v>46026</v>
      </c>
      <c r="B7" s="14">
        <f>TEXT(A7,"aaa")</f>
        <v/>
      </c>
      <c r="C7" s="8" t="n"/>
      <c r="D7" s="8" t="n"/>
      <c r="E7" s="15">
        <f>IFERROR(IF(D7-C7&gt;TIME(9,0,0),TIME(1,0,0),IF(D7-C7&gt;TIME(6,0,0),TIME(0,45,0),0)),0)</f>
        <v/>
      </c>
      <c r="F7" s="15">
        <f>IFERROR(IF(OR(C7="",D7="",D7&lt;=C7),0,D7-C7-E7),0)</f>
        <v/>
      </c>
      <c r="G7" s="15" t="n">
        <v>0</v>
      </c>
      <c r="H7" s="15">
        <f>IFERROR(MIN(F7,MAX(0,SUMIFS(F$4:F7,K$4:K7,K7)-TIME(0,0,0)-40/24)),0)</f>
        <v/>
      </c>
      <c r="I7" s="15">
        <f>IFERROR(IF(F7=0,0,MAX(0,MIN(D7,29/24)-MAX(C7,22/24))),0)</f>
        <v/>
      </c>
      <c r="J7" s="14" t="inlineStr">
        <is>
          <t>日曜</t>
        </is>
      </c>
      <c r="K7" s="13">
        <f>IFERROR(A7-WEEKDAY(A7,2)+1,"")</f>
        <v/>
      </c>
    </row>
    <row r="8">
      <c r="A8" s="10" t="n">
        <v>46027</v>
      </c>
      <c r="B8" s="11">
        <f>TEXT(A8,"aaa")</f>
        <v/>
      </c>
      <c r="C8" s="8" t="n">
        <v>0.2916666666666667</v>
      </c>
      <c r="D8" s="8" t="n">
        <v>0.6458333333333334</v>
      </c>
      <c r="E8" s="12">
        <f>IFERROR(IF(D8-C8&gt;TIME(9,0,0),TIME(1,0,0),IF(D8-C8&gt;TIME(6,0,0),TIME(0,45,0),0)),0)</f>
        <v/>
      </c>
      <c r="F8" s="12">
        <f>IFERROR(IF(OR(C8="",D8="",D8&lt;=C8),0,D8-C8-E8),0)</f>
        <v/>
      </c>
      <c r="G8" s="12" t="n">
        <v>0</v>
      </c>
      <c r="H8" s="12">
        <f>IFERROR(MIN(F8,MAX(0,SUMIFS(F$4:F8,K$4:K8,K8)-TIME(0,0,0)-40/24)),0)</f>
        <v/>
      </c>
      <c r="I8" s="12">
        <f>IFERROR(IF(F8=0,0,MAX(0,MIN(D8,29/24)-MAX(C8,22/24))),0)</f>
        <v/>
      </c>
      <c r="J8" s="11" t="inlineStr"/>
      <c r="K8" s="10">
        <f>IFERROR(A8-WEEKDAY(A8,2)+1,"")</f>
        <v/>
      </c>
    </row>
    <row r="9">
      <c r="A9" s="10" t="n">
        <v>46028</v>
      </c>
      <c r="B9" s="11">
        <f>TEXT(A9,"aaa")</f>
        <v/>
      </c>
      <c r="C9" s="8" t="n">
        <v>0.2916666666666667</v>
      </c>
      <c r="D9" s="8" t="n">
        <v>0.6458333333333334</v>
      </c>
      <c r="E9" s="12">
        <f>IFERROR(IF(D9-C9&gt;TIME(9,0,0),TIME(1,0,0),IF(D9-C9&gt;TIME(6,0,0),TIME(0,45,0),0)),0)</f>
        <v/>
      </c>
      <c r="F9" s="12">
        <f>IFERROR(IF(OR(C9="",D9="",D9&lt;=C9),0,D9-C9-E9),0)</f>
        <v/>
      </c>
      <c r="G9" s="12" t="n">
        <v>0</v>
      </c>
      <c r="H9" s="12">
        <f>IFERROR(MIN(F9,MAX(0,SUMIFS(F$4:F9,K$4:K9,K9)-TIME(0,0,0)-40/24)),0)</f>
        <v/>
      </c>
      <c r="I9" s="12">
        <f>IFERROR(IF(F9=0,0,MAX(0,MIN(D9,29/24)-MAX(C9,22/24))),0)</f>
        <v/>
      </c>
      <c r="J9" s="11" t="inlineStr"/>
      <c r="K9" s="10">
        <f>IFERROR(A9-WEEKDAY(A9,2)+1,"")</f>
        <v/>
      </c>
    </row>
    <row r="10">
      <c r="A10" s="10" t="n">
        <v>46029</v>
      </c>
      <c r="B10" s="11">
        <f>TEXT(A10,"aaa")</f>
        <v/>
      </c>
      <c r="C10" s="8" t="n">
        <v>0.2916666666666667</v>
      </c>
      <c r="D10" s="8" t="n">
        <v>0.6458333333333334</v>
      </c>
      <c r="E10" s="12">
        <f>IFERROR(IF(D10-C10&gt;TIME(9,0,0),TIME(1,0,0),IF(D10-C10&gt;TIME(6,0,0),TIME(0,45,0),0)),0)</f>
        <v/>
      </c>
      <c r="F10" s="12">
        <f>IFERROR(IF(OR(C10="",D10="",D10&lt;=C10),0,D10-C10-E10),0)</f>
        <v/>
      </c>
      <c r="G10" s="12" t="n">
        <v>0</v>
      </c>
      <c r="H10" s="12">
        <f>IFERROR(MIN(F10,MAX(0,SUMIFS(F$4:F10,K$4:K10,K10)-TIME(0,0,0)-40/24)),0)</f>
        <v/>
      </c>
      <c r="I10" s="12">
        <f>IFERROR(IF(F10=0,0,MAX(0,MIN(D10,29/24)-MAX(C10,22/24))),0)</f>
        <v/>
      </c>
      <c r="J10" s="11" t="inlineStr"/>
      <c r="K10" s="10">
        <f>IFERROR(A10-WEEKDAY(A10,2)+1,"")</f>
        <v/>
      </c>
    </row>
    <row r="11">
      <c r="A11" s="10" t="n">
        <v>46030</v>
      </c>
      <c r="B11" s="11">
        <f>TEXT(A11,"aaa")</f>
        <v/>
      </c>
      <c r="C11" s="8" t="n">
        <v>0.2916666666666667</v>
      </c>
      <c r="D11" s="8" t="n">
        <v>0.6458333333333334</v>
      </c>
      <c r="E11" s="12">
        <f>IFERROR(IF(D11-C11&gt;TIME(9,0,0),TIME(1,0,0),IF(D11-C11&gt;TIME(6,0,0),TIME(0,45,0),0)),0)</f>
        <v/>
      </c>
      <c r="F11" s="12">
        <f>IFERROR(IF(OR(C11="",D11="",D11&lt;=C11),0,D11-C11-E11),0)</f>
        <v/>
      </c>
      <c r="G11" s="12" t="n">
        <v>0</v>
      </c>
      <c r="H11" s="12">
        <f>IFERROR(MIN(F11,MAX(0,SUMIFS(F$4:F11,K$4:K11,K11)-TIME(0,0,0)-40/24)),0)</f>
        <v/>
      </c>
      <c r="I11" s="12">
        <f>IFERROR(IF(F11=0,0,MAX(0,MIN(D11,29/24)-MAX(C11,22/24))),0)</f>
        <v/>
      </c>
      <c r="J11" s="11" t="inlineStr"/>
      <c r="K11" s="10">
        <f>IFERROR(A11-WEEKDAY(A11,2)+1,"")</f>
        <v/>
      </c>
    </row>
    <row r="12">
      <c r="A12" s="10" t="n">
        <v>46031</v>
      </c>
      <c r="B12" s="11">
        <f>TEXT(A12,"aaa")</f>
        <v/>
      </c>
      <c r="C12" s="8" t="n">
        <v>0.2916666666666667</v>
      </c>
      <c r="D12" s="8" t="n">
        <v>0.6458333333333334</v>
      </c>
      <c r="E12" s="12">
        <f>IFERROR(IF(D12-C12&gt;TIME(9,0,0),TIME(1,0,0),IF(D12-C12&gt;TIME(6,0,0),TIME(0,45,0),0)),0)</f>
        <v/>
      </c>
      <c r="F12" s="12">
        <f>IFERROR(IF(OR(C12="",D12="",D12&lt;=C12),0,D12-C12-E12),0)</f>
        <v/>
      </c>
      <c r="G12" s="12" t="n">
        <v>0</v>
      </c>
      <c r="H12" s="12">
        <f>IFERROR(MIN(F12,MAX(0,SUMIFS(F$4:F12,K$4:K12,K12)-TIME(0,0,0)-40/24)),0)</f>
        <v/>
      </c>
      <c r="I12" s="12">
        <f>IFERROR(IF(F12=0,0,MAX(0,MIN(D12,29/24)-MAX(C12,22/24))),0)</f>
        <v/>
      </c>
      <c r="J12" s="11" t="inlineStr"/>
      <c r="K12" s="10">
        <f>IFERROR(A12-WEEKDAY(A12,2)+1,"")</f>
        <v/>
      </c>
    </row>
    <row r="13">
      <c r="A13" s="10" t="n">
        <v>46032</v>
      </c>
      <c r="B13" s="11">
        <f>TEXT(A13,"aaa")</f>
        <v/>
      </c>
      <c r="C13" s="8" t="n">
        <v>0.2916666666666667</v>
      </c>
      <c r="D13" s="8" t="n">
        <v>0.6458333333333334</v>
      </c>
      <c r="E13" s="12">
        <f>IFERROR(IF(D13-C13&gt;TIME(9,0,0),TIME(1,0,0),IF(D13-C13&gt;TIME(6,0,0),TIME(0,45,0),0)),0)</f>
        <v/>
      </c>
      <c r="F13" s="12">
        <f>IFERROR(IF(OR(C13="",D13="",D13&lt;=C13),0,D13-C13-E13),0)</f>
        <v/>
      </c>
      <c r="G13" s="12" t="n">
        <v>0</v>
      </c>
      <c r="H13" s="12">
        <f>IFERROR(MIN(F13,MAX(0,SUMIFS(F$4:F13,K$4:K13,K13)-TIME(0,0,0)-40/24)),0)</f>
        <v/>
      </c>
      <c r="I13" s="12">
        <f>IFERROR(IF(F13=0,0,MAX(0,MIN(D13,29/24)-MAX(C13,22/24))),0)</f>
        <v/>
      </c>
      <c r="J13" s="11" t="inlineStr"/>
      <c r="K13" s="10">
        <f>IFERROR(A13-WEEKDAY(A13,2)+1,"")</f>
        <v/>
      </c>
    </row>
    <row r="14">
      <c r="A14" s="13" t="n">
        <v>46033</v>
      </c>
      <c r="B14" s="14">
        <f>TEXT(A14,"aaa")</f>
        <v/>
      </c>
      <c r="C14" s="8" t="n"/>
      <c r="D14" s="8" t="n"/>
      <c r="E14" s="15">
        <f>IFERROR(IF(D14-C14&gt;TIME(9,0,0),TIME(1,0,0),IF(D14-C14&gt;TIME(6,0,0),TIME(0,45,0),0)),0)</f>
        <v/>
      </c>
      <c r="F14" s="15">
        <f>IFERROR(IF(OR(C14="",D14="",D14&lt;=C14),0,D14-C14-E14),0)</f>
        <v/>
      </c>
      <c r="G14" s="15" t="n">
        <v>0</v>
      </c>
      <c r="H14" s="15">
        <f>IFERROR(MIN(F14,MAX(0,SUMIFS(F$4:F14,K$4:K14,K14)-TIME(0,0,0)-40/24)),0)</f>
        <v/>
      </c>
      <c r="I14" s="15">
        <f>IFERROR(IF(F14=0,0,MAX(0,MIN(D14,29/24)-MAX(C14,22/24))),0)</f>
        <v/>
      </c>
      <c r="J14" s="14" t="inlineStr">
        <is>
          <t>日曜</t>
        </is>
      </c>
      <c r="K14" s="13">
        <f>IFERROR(A14-WEEKDAY(A14,2)+1,"")</f>
        <v/>
      </c>
    </row>
    <row r="15">
      <c r="A15" s="6" t="n">
        <v>46034</v>
      </c>
      <c r="B15" s="7">
        <f>TEXT(A15,"aaa")</f>
        <v/>
      </c>
      <c r="C15" s="8" t="n"/>
      <c r="D15" s="8" t="n"/>
      <c r="E15" s="9">
        <f>IFERROR(IF(D15-C15&gt;TIME(9,0,0),TIME(1,0,0),IF(D15-C15&gt;TIME(6,0,0),TIME(0,45,0),0)),0)</f>
        <v/>
      </c>
      <c r="F15" s="9">
        <f>IFERROR(IF(OR(C15="",D15="",D15&lt;=C15),0,D15-C15-E15),0)</f>
        <v/>
      </c>
      <c r="G15" s="9" t="n">
        <v>0</v>
      </c>
      <c r="H15" s="9">
        <f>IFERROR(MIN(F15,MAX(0,SUMIFS(F$4:F15,K$4:K15,K15)-TIME(0,0,0)-40/24)),0)</f>
        <v/>
      </c>
      <c r="I15" s="9">
        <f>IFERROR(IF(F15=0,0,MAX(0,MIN(D15,29/24)-MAX(C15,22/24))),0)</f>
        <v/>
      </c>
      <c r="J15" s="7" t="inlineStr">
        <is>
          <t>成人の日</t>
        </is>
      </c>
      <c r="K15" s="6">
        <f>IFERROR(A15-WEEKDAY(A15,2)+1,"")</f>
        <v/>
      </c>
    </row>
    <row r="16">
      <c r="A16" s="10" t="n">
        <v>46035</v>
      </c>
      <c r="B16" s="11">
        <f>TEXT(A16,"aaa")</f>
        <v/>
      </c>
      <c r="C16" s="8" t="n">
        <v>0.2916666666666667</v>
      </c>
      <c r="D16" s="8" t="n">
        <v>0.59375</v>
      </c>
      <c r="E16" s="12">
        <f>IFERROR(IF(D16-C16&gt;TIME(9,0,0),TIME(1,0,0),IF(D16-C16&gt;TIME(6,0,0),TIME(0,45,0),0)),0)</f>
        <v/>
      </c>
      <c r="F16" s="12">
        <f>IFERROR(IF(OR(C16="",D16="",D16&lt;=C16),0,D16-C16-E16),0)</f>
        <v/>
      </c>
      <c r="G16" s="12" t="n">
        <v>0</v>
      </c>
      <c r="H16" s="12">
        <f>IFERROR(MIN(F16,MAX(0,SUMIFS(F$4:F16,K$4:K16,K16)-TIME(0,0,0)-40/24)),0)</f>
        <v/>
      </c>
      <c r="I16" s="12">
        <f>IFERROR(IF(F16=0,0,MAX(0,MIN(D16,29/24)-MAX(C16,22/24))),0)</f>
        <v/>
      </c>
      <c r="J16" s="11" t="inlineStr"/>
      <c r="K16" s="10">
        <f>IFERROR(A16-WEEKDAY(A16,2)+1,"")</f>
        <v/>
      </c>
    </row>
    <row r="17">
      <c r="A17" s="10" t="n">
        <v>46036</v>
      </c>
      <c r="B17" s="11">
        <f>TEXT(A17,"aaa")</f>
        <v/>
      </c>
      <c r="C17" s="8" t="n">
        <v>0.2916666666666667</v>
      </c>
      <c r="D17" s="8" t="n">
        <v>0.59375</v>
      </c>
      <c r="E17" s="12">
        <f>IFERROR(IF(D17-C17&gt;TIME(9,0,0),TIME(1,0,0),IF(D17-C17&gt;TIME(6,0,0),TIME(0,45,0),0)),0)</f>
        <v/>
      </c>
      <c r="F17" s="12">
        <f>IFERROR(IF(OR(C17="",D17="",D17&lt;=C17),0,D17-C17-E17),0)</f>
        <v/>
      </c>
      <c r="G17" s="12" t="n">
        <v>0</v>
      </c>
      <c r="H17" s="12">
        <f>IFERROR(MIN(F17,MAX(0,SUMIFS(F$4:F17,K$4:K17,K17)-TIME(0,0,0)-40/24)),0)</f>
        <v/>
      </c>
      <c r="I17" s="12">
        <f>IFERROR(IF(F17=0,0,MAX(0,MIN(D17,29/24)-MAX(C17,22/24))),0)</f>
        <v/>
      </c>
      <c r="J17" s="11" t="inlineStr"/>
      <c r="K17" s="10">
        <f>IFERROR(A17-WEEKDAY(A17,2)+1,"")</f>
        <v/>
      </c>
    </row>
    <row r="18">
      <c r="A18" s="10" t="n">
        <v>46037</v>
      </c>
      <c r="B18" s="11">
        <f>TEXT(A18,"aaa")</f>
        <v/>
      </c>
      <c r="C18" s="8" t="n">
        <v>0.2916666666666667</v>
      </c>
      <c r="D18" s="8" t="n">
        <v>0.59375</v>
      </c>
      <c r="E18" s="12">
        <f>IFERROR(IF(D18-C18&gt;TIME(9,0,0),TIME(1,0,0),IF(D18-C18&gt;TIME(6,0,0),TIME(0,45,0),0)),0)</f>
        <v/>
      </c>
      <c r="F18" s="12">
        <f>IFERROR(IF(OR(C18="",D18="",D18&lt;=C18),0,D18-C18-E18),0)</f>
        <v/>
      </c>
      <c r="G18" s="12" t="n">
        <v>0</v>
      </c>
      <c r="H18" s="12">
        <f>IFERROR(MIN(F18,MAX(0,SUMIFS(F$4:F18,K$4:K18,K18)-TIME(0,0,0)-40/24)),0)</f>
        <v/>
      </c>
      <c r="I18" s="12">
        <f>IFERROR(IF(F18=0,0,MAX(0,MIN(D18,29/24)-MAX(C18,22/24))),0)</f>
        <v/>
      </c>
      <c r="J18" s="11" t="inlineStr"/>
      <c r="K18" s="10">
        <f>IFERROR(A18-WEEKDAY(A18,2)+1,"")</f>
        <v/>
      </c>
    </row>
    <row r="19">
      <c r="A19" s="10" t="n">
        <v>46038</v>
      </c>
      <c r="B19" s="11">
        <f>TEXT(A19,"aaa")</f>
        <v/>
      </c>
      <c r="C19" s="8" t="n">
        <v>0.2916666666666667</v>
      </c>
      <c r="D19" s="8" t="n">
        <v>0.59375</v>
      </c>
      <c r="E19" s="12">
        <f>IFERROR(IF(D19-C19&gt;TIME(9,0,0),TIME(1,0,0),IF(D19-C19&gt;TIME(6,0,0),TIME(0,45,0),0)),0)</f>
        <v/>
      </c>
      <c r="F19" s="12">
        <f>IFERROR(IF(OR(C19="",D19="",D19&lt;=C19),0,D19-C19-E19),0)</f>
        <v/>
      </c>
      <c r="G19" s="12" t="n">
        <v>0</v>
      </c>
      <c r="H19" s="12">
        <f>IFERROR(MIN(F19,MAX(0,SUMIFS(F$4:F19,K$4:K19,K19)-TIME(0,0,0)-40/24)),0)</f>
        <v/>
      </c>
      <c r="I19" s="12">
        <f>IFERROR(IF(F19=0,0,MAX(0,MIN(D19,29/24)-MAX(C19,22/24))),0)</f>
        <v/>
      </c>
      <c r="J19" s="11" t="inlineStr"/>
      <c r="K19" s="10">
        <f>IFERROR(A19-WEEKDAY(A19,2)+1,"")</f>
        <v/>
      </c>
    </row>
    <row r="20">
      <c r="A20" s="10" t="n">
        <v>46039</v>
      </c>
      <c r="B20" s="11">
        <f>TEXT(A20,"aaa")</f>
        <v/>
      </c>
      <c r="C20" s="8" t="n">
        <v>0.2916666666666667</v>
      </c>
      <c r="D20" s="8" t="n">
        <v>0.59375</v>
      </c>
      <c r="E20" s="12">
        <f>IFERROR(IF(D20-C20&gt;TIME(9,0,0),TIME(1,0,0),IF(D20-C20&gt;TIME(6,0,0),TIME(0,45,0),0)),0)</f>
        <v/>
      </c>
      <c r="F20" s="12">
        <f>IFERROR(IF(OR(C20="",D20="",D20&lt;=C20),0,D20-C20-E20),0)</f>
        <v/>
      </c>
      <c r="G20" s="12" t="n">
        <v>0</v>
      </c>
      <c r="H20" s="12">
        <f>IFERROR(MIN(F20,MAX(0,SUMIFS(F$4:F20,K$4:K20,K20)-TIME(0,0,0)-40/24)),0)</f>
        <v/>
      </c>
      <c r="I20" s="12">
        <f>IFERROR(IF(F20=0,0,MAX(0,MIN(D20,29/24)-MAX(C20,22/24))),0)</f>
        <v/>
      </c>
      <c r="J20" s="11" t="inlineStr"/>
      <c r="K20" s="10">
        <f>IFERROR(A20-WEEKDAY(A20,2)+1,"")</f>
        <v/>
      </c>
    </row>
    <row r="21">
      <c r="A21" s="13" t="n">
        <v>46040</v>
      </c>
      <c r="B21" s="14">
        <f>TEXT(A21,"aaa")</f>
        <v/>
      </c>
      <c r="C21" s="8" t="n"/>
      <c r="D21" s="8" t="n"/>
      <c r="E21" s="15">
        <f>IFERROR(IF(D21-C21&gt;TIME(9,0,0),TIME(1,0,0),IF(D21-C21&gt;TIME(6,0,0),TIME(0,45,0),0)),0)</f>
        <v/>
      </c>
      <c r="F21" s="15">
        <f>IFERROR(IF(OR(C21="",D21="",D21&lt;=C21),0,D21-C21-E21),0)</f>
        <v/>
      </c>
      <c r="G21" s="15" t="n">
        <v>0</v>
      </c>
      <c r="H21" s="15">
        <f>IFERROR(MIN(F21,MAX(0,SUMIFS(F$4:F21,K$4:K21,K21)-TIME(0,0,0)-40/24)),0)</f>
        <v/>
      </c>
      <c r="I21" s="15">
        <f>IFERROR(IF(F21=0,0,MAX(0,MIN(D21,29/24)-MAX(C21,22/24))),0)</f>
        <v/>
      </c>
      <c r="J21" s="14" t="inlineStr">
        <is>
          <t>日曜</t>
        </is>
      </c>
      <c r="K21" s="13">
        <f>IFERROR(A21-WEEKDAY(A21,2)+1,"")</f>
        <v/>
      </c>
    </row>
    <row r="22">
      <c r="A22" s="10" t="n">
        <v>46041</v>
      </c>
      <c r="B22" s="11">
        <f>TEXT(A22,"aaa")</f>
        <v/>
      </c>
      <c r="C22" s="8" t="n">
        <v>0.2916666666666667</v>
      </c>
      <c r="D22" s="8" t="n">
        <v>0.5416666666666666</v>
      </c>
      <c r="E22" s="12">
        <f>IFERROR(IF(D22-C22&gt;TIME(9,0,0),TIME(1,0,0),IF(D22-C22&gt;TIME(6,0,0),TIME(0,45,0),0)),0)</f>
        <v/>
      </c>
      <c r="F22" s="12">
        <f>IFERROR(IF(OR(C22="",D22="",D22&lt;=C22),0,D22-C22-E22),0)</f>
        <v/>
      </c>
      <c r="G22" s="12" t="n">
        <v>0</v>
      </c>
      <c r="H22" s="12">
        <f>IFERROR(MIN(F22,MAX(0,SUMIFS(F$4:F22,K$4:K22,K22)-TIME(0,0,0)-40/24)),0)</f>
        <v/>
      </c>
      <c r="I22" s="12">
        <f>IFERROR(IF(F22=0,0,MAX(0,MIN(D22,29/24)-MAX(C22,22/24))),0)</f>
        <v/>
      </c>
      <c r="J22" s="11" t="inlineStr"/>
      <c r="K22" s="10">
        <f>IFERROR(A22-WEEKDAY(A22,2)+1,"")</f>
        <v/>
      </c>
    </row>
    <row r="23">
      <c r="A23" s="10" t="n">
        <v>46042</v>
      </c>
      <c r="B23" s="11">
        <f>TEXT(A23,"aaa")</f>
        <v/>
      </c>
      <c r="C23" s="8" t="n">
        <v>0.2916666666666667</v>
      </c>
      <c r="D23" s="8" t="n">
        <v>0.5416666666666666</v>
      </c>
      <c r="E23" s="12">
        <f>IFERROR(IF(D23-C23&gt;TIME(9,0,0),TIME(1,0,0),IF(D23-C23&gt;TIME(6,0,0),TIME(0,45,0),0)),0)</f>
        <v/>
      </c>
      <c r="F23" s="12">
        <f>IFERROR(IF(OR(C23="",D23="",D23&lt;=C23),0,D23-C23-E23),0)</f>
        <v/>
      </c>
      <c r="G23" s="12" t="n">
        <v>0</v>
      </c>
      <c r="H23" s="12">
        <f>IFERROR(MIN(F23,MAX(0,SUMIFS(F$4:F23,K$4:K23,K23)-TIME(0,0,0)-40/24)),0)</f>
        <v/>
      </c>
      <c r="I23" s="12">
        <f>IFERROR(IF(F23=0,0,MAX(0,MIN(D23,29/24)-MAX(C23,22/24))),0)</f>
        <v/>
      </c>
      <c r="J23" s="11" t="inlineStr"/>
      <c r="K23" s="10">
        <f>IFERROR(A23-WEEKDAY(A23,2)+1,"")</f>
        <v/>
      </c>
    </row>
    <row r="24">
      <c r="A24" s="10" t="n">
        <v>46043</v>
      </c>
      <c r="B24" s="11">
        <f>TEXT(A24,"aaa")</f>
        <v/>
      </c>
      <c r="C24" s="8" t="n">
        <v>0.2916666666666667</v>
      </c>
      <c r="D24" s="8" t="n">
        <v>0.5416666666666666</v>
      </c>
      <c r="E24" s="12">
        <f>IFERROR(IF(D24-C24&gt;TIME(9,0,0),TIME(1,0,0),IF(D24-C24&gt;TIME(6,0,0),TIME(0,45,0),0)),0)</f>
        <v/>
      </c>
      <c r="F24" s="12">
        <f>IFERROR(IF(OR(C24="",D24="",D24&lt;=C24),0,D24-C24-E24),0)</f>
        <v/>
      </c>
      <c r="G24" s="12" t="n">
        <v>0</v>
      </c>
      <c r="H24" s="12">
        <f>IFERROR(MIN(F24,MAX(0,SUMIFS(F$4:F24,K$4:K24,K24)-TIME(0,0,0)-40/24)),0)</f>
        <v/>
      </c>
      <c r="I24" s="12">
        <f>IFERROR(IF(F24=0,0,MAX(0,MIN(D24,29/24)-MAX(C24,22/24))),0)</f>
        <v/>
      </c>
      <c r="J24" s="11" t="inlineStr"/>
      <c r="K24" s="10">
        <f>IFERROR(A24-WEEKDAY(A24,2)+1,"")</f>
        <v/>
      </c>
    </row>
    <row r="25">
      <c r="A25" s="10" t="n">
        <v>46044</v>
      </c>
      <c r="B25" s="11">
        <f>TEXT(A25,"aaa")</f>
        <v/>
      </c>
      <c r="C25" s="8" t="n">
        <v>0.2916666666666667</v>
      </c>
      <c r="D25" s="8" t="n">
        <v>0.5416666666666666</v>
      </c>
      <c r="E25" s="12">
        <f>IFERROR(IF(D25-C25&gt;TIME(9,0,0),TIME(1,0,0),IF(D25-C25&gt;TIME(6,0,0),TIME(0,45,0),0)),0)</f>
        <v/>
      </c>
      <c r="F25" s="12">
        <f>IFERROR(IF(OR(C25="",D25="",D25&lt;=C25),0,D25-C25-E25),0)</f>
        <v/>
      </c>
      <c r="G25" s="12" t="n">
        <v>0</v>
      </c>
      <c r="H25" s="12">
        <f>IFERROR(MIN(F25,MAX(0,SUMIFS(F$4:F25,K$4:K25,K25)-TIME(0,0,0)-40/24)),0)</f>
        <v/>
      </c>
      <c r="I25" s="12">
        <f>IFERROR(IF(F25=0,0,MAX(0,MIN(D25,29/24)-MAX(C25,22/24))),0)</f>
        <v/>
      </c>
      <c r="J25" s="11" t="inlineStr"/>
      <c r="K25" s="10">
        <f>IFERROR(A25-WEEKDAY(A25,2)+1,"")</f>
        <v/>
      </c>
    </row>
    <row r="26">
      <c r="A26" s="10" t="n">
        <v>46045</v>
      </c>
      <c r="B26" s="11">
        <f>TEXT(A26,"aaa")</f>
        <v/>
      </c>
      <c r="C26" s="8" t="n">
        <v>0.2916666666666667</v>
      </c>
      <c r="D26" s="8" t="n">
        <v>0.5416666666666666</v>
      </c>
      <c r="E26" s="12">
        <f>IFERROR(IF(D26-C26&gt;TIME(9,0,0),TIME(1,0,0),IF(D26-C26&gt;TIME(6,0,0),TIME(0,45,0),0)),0)</f>
        <v/>
      </c>
      <c r="F26" s="12">
        <f>IFERROR(IF(OR(C26="",D26="",D26&lt;=C26),0,D26-C26-E26),0)</f>
        <v/>
      </c>
      <c r="G26" s="12" t="n">
        <v>0</v>
      </c>
      <c r="H26" s="12">
        <f>IFERROR(MIN(F26,MAX(0,SUMIFS(F$4:F26,K$4:K26,K26)-TIME(0,0,0)-40/24)),0)</f>
        <v/>
      </c>
      <c r="I26" s="12">
        <f>IFERROR(IF(F26=0,0,MAX(0,MIN(D26,29/24)-MAX(C26,22/24))),0)</f>
        <v/>
      </c>
      <c r="J26" s="11" t="inlineStr"/>
      <c r="K26" s="10">
        <f>IFERROR(A26-WEEKDAY(A26,2)+1,"")</f>
        <v/>
      </c>
    </row>
    <row r="27">
      <c r="A27" s="10" t="n">
        <v>46046</v>
      </c>
      <c r="B27" s="11">
        <f>TEXT(A27,"aaa")</f>
        <v/>
      </c>
      <c r="C27" s="8" t="n">
        <v>0.2916666666666667</v>
      </c>
      <c r="D27" s="8" t="n">
        <v>0.5416666666666666</v>
      </c>
      <c r="E27" s="12">
        <f>IFERROR(IF(D27-C27&gt;TIME(9,0,0),TIME(1,0,0),IF(D27-C27&gt;TIME(6,0,0),TIME(0,45,0),0)),0)</f>
        <v/>
      </c>
      <c r="F27" s="12">
        <f>IFERROR(IF(OR(C27="",D27="",D27&lt;=C27),0,D27-C27-E27),0)</f>
        <v/>
      </c>
      <c r="G27" s="12" t="n">
        <v>0</v>
      </c>
      <c r="H27" s="12">
        <f>IFERROR(MIN(F27,MAX(0,SUMIFS(F$4:F27,K$4:K27,K27)-TIME(0,0,0)-40/24)),0)</f>
        <v/>
      </c>
      <c r="I27" s="12">
        <f>IFERROR(IF(F27=0,0,MAX(0,MIN(D27,29/24)-MAX(C27,22/24))),0)</f>
        <v/>
      </c>
      <c r="J27" s="11" t="inlineStr"/>
      <c r="K27" s="10">
        <f>IFERROR(A27-WEEKDAY(A27,2)+1,"")</f>
        <v/>
      </c>
    </row>
    <row r="28">
      <c r="A28" s="13" t="n">
        <v>46047</v>
      </c>
      <c r="B28" s="14">
        <f>TEXT(A28,"aaa")</f>
        <v/>
      </c>
      <c r="C28" s="8" t="n"/>
      <c r="D28" s="8" t="n"/>
      <c r="E28" s="15">
        <f>IFERROR(IF(D28-C28&gt;TIME(9,0,0),TIME(1,0,0),IF(D28-C28&gt;TIME(6,0,0),TIME(0,45,0),0)),0)</f>
        <v/>
      </c>
      <c r="F28" s="15">
        <f>IFERROR(IF(OR(C28="",D28="",D28&lt;=C28),0,D28-C28-E28),0)</f>
        <v/>
      </c>
      <c r="G28" s="15" t="n">
        <v>0</v>
      </c>
      <c r="H28" s="15">
        <f>IFERROR(MIN(F28,MAX(0,SUMIFS(F$4:F28,K$4:K28,K28)-TIME(0,0,0)-40/24)),0)</f>
        <v/>
      </c>
      <c r="I28" s="15">
        <f>IFERROR(IF(F28=0,0,MAX(0,MIN(D28,29/24)-MAX(C28,22/24))),0)</f>
        <v/>
      </c>
      <c r="J28" s="14" t="inlineStr">
        <is>
          <t>日曜</t>
        </is>
      </c>
      <c r="K28" s="13">
        <f>IFERROR(A28-WEEKDAY(A28,2)+1,"")</f>
        <v/>
      </c>
    </row>
    <row r="29">
      <c r="A29" s="10" t="n">
        <v>46048</v>
      </c>
      <c r="B29" s="11">
        <f>TEXT(A29,"aaa")</f>
        <v/>
      </c>
      <c r="C29" s="8" t="n">
        <v>0.2916666666666667</v>
      </c>
      <c r="D29" s="8" t="n">
        <v>0.5347222222222222</v>
      </c>
      <c r="E29" s="12">
        <f>IFERROR(IF(D29-C29&gt;TIME(9,0,0),TIME(1,0,0),IF(D29-C29&gt;TIME(6,0,0),TIME(0,45,0),0)),0)</f>
        <v/>
      </c>
      <c r="F29" s="12">
        <f>IFERROR(IF(OR(C29="",D29="",D29&lt;=C29),0,D29-C29-E29),0)</f>
        <v/>
      </c>
      <c r="G29" s="12" t="n">
        <v>0</v>
      </c>
      <c r="H29" s="12">
        <f>IFERROR(MIN(F29,MAX(0,SUMIFS(F$4:F29,K$4:K29,K29)-TIME(0,0,0)-40/24)),0)</f>
        <v/>
      </c>
      <c r="I29" s="12">
        <f>IFERROR(IF(F29=0,0,MAX(0,MIN(D29,29/24)-MAX(C29,22/24))),0)</f>
        <v/>
      </c>
      <c r="J29" s="11" t="inlineStr"/>
      <c r="K29" s="10">
        <f>IFERROR(A29-WEEKDAY(A29,2)+1,"")</f>
        <v/>
      </c>
    </row>
    <row r="30">
      <c r="A30" s="10" t="n">
        <v>46049</v>
      </c>
      <c r="B30" s="11">
        <f>TEXT(A30,"aaa")</f>
        <v/>
      </c>
      <c r="C30" s="8" t="n">
        <v>0.2916666666666667</v>
      </c>
      <c r="D30" s="8" t="n">
        <v>0.5347222222222222</v>
      </c>
      <c r="E30" s="12">
        <f>IFERROR(IF(D30-C30&gt;TIME(9,0,0),TIME(1,0,0),IF(D30-C30&gt;TIME(6,0,0),TIME(0,45,0),0)),0)</f>
        <v/>
      </c>
      <c r="F30" s="12">
        <f>IFERROR(IF(OR(C30="",D30="",D30&lt;=C30),0,D30-C30-E30),0)</f>
        <v/>
      </c>
      <c r="G30" s="12" t="n">
        <v>0</v>
      </c>
      <c r="H30" s="12">
        <f>IFERROR(MIN(F30,MAX(0,SUMIFS(F$4:F30,K$4:K30,K30)-TIME(0,0,0)-40/24)),0)</f>
        <v/>
      </c>
      <c r="I30" s="12">
        <f>IFERROR(IF(F30=0,0,MAX(0,MIN(D30,29/24)-MAX(C30,22/24))),0)</f>
        <v/>
      </c>
      <c r="J30" s="11" t="inlineStr"/>
      <c r="K30" s="10">
        <f>IFERROR(A30-WEEKDAY(A30,2)+1,"")</f>
        <v/>
      </c>
    </row>
    <row r="31">
      <c r="A31" s="10" t="n">
        <v>46050</v>
      </c>
      <c r="B31" s="11">
        <f>TEXT(A31,"aaa")</f>
        <v/>
      </c>
      <c r="C31" s="8" t="n">
        <v>0.2916666666666667</v>
      </c>
      <c r="D31" s="8" t="n">
        <v>0.5347222222222222</v>
      </c>
      <c r="E31" s="12">
        <f>IFERROR(IF(D31-C31&gt;TIME(9,0,0),TIME(1,0,0),IF(D31-C31&gt;TIME(6,0,0),TIME(0,45,0),0)),0)</f>
        <v/>
      </c>
      <c r="F31" s="12">
        <f>IFERROR(IF(OR(C31="",D31="",D31&lt;=C31),0,D31-C31-E31),0)</f>
        <v/>
      </c>
      <c r="G31" s="12" t="n">
        <v>0</v>
      </c>
      <c r="H31" s="12">
        <f>IFERROR(MIN(F31,MAX(0,SUMIFS(F$4:F31,K$4:K31,K31)-TIME(0,0,0)-40/24)),0)</f>
        <v/>
      </c>
      <c r="I31" s="12">
        <f>IFERROR(IF(F31=0,0,MAX(0,MIN(D31,29/24)-MAX(C31,22/24))),0)</f>
        <v/>
      </c>
      <c r="J31" s="11" t="inlineStr"/>
      <c r="K31" s="10">
        <f>IFERROR(A31-WEEKDAY(A31,2)+1,"")</f>
        <v/>
      </c>
    </row>
    <row r="32">
      <c r="A32" s="10" t="n">
        <v>46051</v>
      </c>
      <c r="B32" s="11">
        <f>TEXT(A32,"aaa")</f>
        <v/>
      </c>
      <c r="C32" s="8" t="n">
        <v>0.2916666666666667</v>
      </c>
      <c r="D32" s="8" t="n">
        <v>0.5347222222222222</v>
      </c>
      <c r="E32" s="12">
        <f>IFERROR(IF(D32-C32&gt;TIME(9,0,0),TIME(1,0,0),IF(D32-C32&gt;TIME(6,0,0),TIME(0,45,0),0)),0)</f>
        <v/>
      </c>
      <c r="F32" s="12">
        <f>IFERROR(IF(OR(C32="",D32="",D32&lt;=C32),0,D32-C32-E32),0)</f>
        <v/>
      </c>
      <c r="G32" s="12" t="n">
        <v>0</v>
      </c>
      <c r="H32" s="12">
        <f>IFERROR(MIN(F32,MAX(0,SUMIFS(F$4:F32,K$4:K32,K32)-TIME(0,0,0)-40/24)),0)</f>
        <v/>
      </c>
      <c r="I32" s="12">
        <f>IFERROR(IF(F32=0,0,MAX(0,MIN(D32,29/24)-MAX(C32,22/24))),0)</f>
        <v/>
      </c>
      <c r="J32" s="11" t="inlineStr"/>
      <c r="K32" s="10">
        <f>IFERROR(A32-WEEKDAY(A32,2)+1,"")</f>
        <v/>
      </c>
    </row>
    <row r="33">
      <c r="A33" s="10" t="n">
        <v>46052</v>
      </c>
      <c r="B33" s="11">
        <f>TEXT(A33,"aaa")</f>
        <v/>
      </c>
      <c r="C33" s="8" t="n">
        <v>0.2916666666666667</v>
      </c>
      <c r="D33" s="8" t="n">
        <v>0.5347222222222222</v>
      </c>
      <c r="E33" s="12">
        <f>IFERROR(IF(D33-C33&gt;TIME(9,0,0),TIME(1,0,0),IF(D33-C33&gt;TIME(6,0,0),TIME(0,45,0),0)),0)</f>
        <v/>
      </c>
      <c r="F33" s="12">
        <f>IFERROR(IF(OR(C33="",D33="",D33&lt;=C33),0,D33-C33-E33),0)</f>
        <v/>
      </c>
      <c r="G33" s="12" t="n">
        <v>0</v>
      </c>
      <c r="H33" s="12">
        <f>IFERROR(MIN(F33,MAX(0,SUMIFS(F$4:F33,K$4:K33,K33)-TIME(0,0,0)-40/24)),0)</f>
        <v/>
      </c>
      <c r="I33" s="12">
        <f>IFERROR(IF(F33=0,0,MAX(0,MIN(D33,29/24)-MAX(C33,22/24))),0)</f>
        <v/>
      </c>
      <c r="J33" s="11" t="inlineStr"/>
      <c r="K33" s="10">
        <f>IFERROR(A33-WEEKDAY(A33,2)+1,"")</f>
        <v/>
      </c>
    </row>
    <row r="34">
      <c r="A34" s="10" t="n">
        <v>46053</v>
      </c>
      <c r="B34" s="11">
        <f>TEXT(A34,"aaa")</f>
        <v/>
      </c>
      <c r="C34" s="8" t="n">
        <v>0.2916666666666667</v>
      </c>
      <c r="D34" s="8" t="n">
        <v>0.5347222222222222</v>
      </c>
      <c r="E34" s="12">
        <f>IFERROR(IF(D34-C34&gt;TIME(9,0,0),TIME(1,0,0),IF(D34-C34&gt;TIME(6,0,0),TIME(0,45,0),0)),0)</f>
        <v/>
      </c>
      <c r="F34" s="12">
        <f>IFERROR(IF(OR(C34="",D34="",D34&lt;=C34),0,D34-C34-E34),0)</f>
        <v/>
      </c>
      <c r="G34" s="12" t="n">
        <v>0</v>
      </c>
      <c r="H34" s="12">
        <f>IFERROR(MIN(F34,MAX(0,SUMIFS(F$4:F34,K$4:K34,K34)-TIME(0,0,0)-40/24)),0)</f>
        <v/>
      </c>
      <c r="I34" s="12">
        <f>IFERROR(IF(F34=0,0,MAX(0,MIN(D34,29/24)-MAX(C34,22/24))),0)</f>
        <v/>
      </c>
      <c r="J34" s="11" t="inlineStr"/>
      <c r="K34" s="10">
        <f>IFERROR(A34-WEEKDAY(A34,2)+1,"")</f>
        <v/>
      </c>
    </row>
    <row r="35">
      <c r="A35" s="16" t="inlineStr">
        <is>
          <t>合計</t>
        </is>
      </c>
      <c r="B35" s="16">
        <f>COUNTIF(F4:F34,"&gt;0")&amp;"日"</f>
        <v/>
      </c>
      <c r="C35" s="16" t="n"/>
      <c r="D35" s="16" t="n"/>
      <c r="E35" s="16" t="n"/>
      <c r="F35" s="17">
        <f>SUM(F4:F34)</f>
        <v/>
      </c>
      <c r="G35" s="17">
        <f>SUM(G4:G34)</f>
        <v/>
      </c>
      <c r="H35" s="17">
        <f>SUM(H4:H34)</f>
        <v/>
      </c>
      <c r="I35" s="17">
        <f>SUM(I4:I34)</f>
        <v/>
      </c>
      <c r="J35" s="16" t="n"/>
      <c r="K35" s="16" t="n"/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4" customWidth="1" min="8" max="8"/>
    <col width="12" customWidth="1" min="9" max="9"/>
    <col width="16" customWidth="1" min="10" max="10"/>
    <col hidden="1" width="11" customWidth="1" min="11" max="11"/>
  </cols>
  <sheetData>
    <row r="1" ht="22" customHeight="1">
      <c r="A1" s="4" t="inlineStr">
        <is>
          <t>出勤簿  R8.2 (2026年2月)</t>
        </is>
      </c>
    </row>
    <row r="2">
      <c r="A2" s="5" t="inlineStr">
        <is>
          <t>※ 緑色セル(始業・終業)を編集すると 休憩・労働時間・残業・深夜・合計が自動再計算されます</t>
        </is>
      </c>
    </row>
    <row r="3">
      <c r="A3" s="1" t="inlineStr">
        <is>
          <t>日付</t>
        </is>
      </c>
      <c r="B3" s="1" t="inlineStr">
        <is>
          <t>曜日</t>
        </is>
      </c>
      <c r="C3" s="1" t="inlineStr">
        <is>
          <t>始業</t>
        </is>
      </c>
      <c r="D3" s="1" t="inlineStr">
        <is>
          <t>終業</t>
        </is>
      </c>
      <c r="E3" s="1" t="inlineStr">
        <is>
          <t>休憩</t>
        </is>
      </c>
      <c r="F3" s="1" t="inlineStr">
        <is>
          <t>労働時間</t>
        </is>
      </c>
      <c r="G3" s="1" t="inlineStr">
        <is>
          <t>休日労働時間</t>
        </is>
      </c>
      <c r="H3" s="1" t="inlineStr">
        <is>
          <t>時間外労働時間</t>
        </is>
      </c>
      <c r="I3" s="1" t="inlineStr">
        <is>
          <t>深夜労働時間</t>
        </is>
      </c>
      <c r="J3" s="1" t="inlineStr">
        <is>
          <t>備考</t>
        </is>
      </c>
      <c r="K3" s="1" t="inlineStr">
        <is>
          <t>週開始(月)</t>
        </is>
      </c>
    </row>
    <row r="4">
      <c r="A4" s="13" t="n">
        <v>46054</v>
      </c>
      <c r="B4" s="14">
        <f>TEXT(A4,"aaa")</f>
        <v/>
      </c>
      <c r="C4" s="8" t="n"/>
      <c r="D4" s="8" t="n"/>
      <c r="E4" s="15">
        <f>IFERROR(IF(D4-C4&gt;TIME(9,0,0),TIME(1,0,0),IF(D4-C4&gt;TIME(6,0,0),TIME(0,45,0),0)),0)</f>
        <v/>
      </c>
      <c r="F4" s="15">
        <f>IFERROR(IF(OR(C4="",D4="",D4&lt;=C4),0,D4-C4-E4),0)</f>
        <v/>
      </c>
      <c r="G4" s="15" t="n">
        <v>0</v>
      </c>
      <c r="H4" s="15">
        <f>IFERROR(MIN(F4,MAX(0,SUMIFS(F$4:F4,K$4:K4,K4)-TIME(0,0,0)-40/24)),0)</f>
        <v/>
      </c>
      <c r="I4" s="15">
        <f>IFERROR(IF(F4=0,0,MAX(0,MIN(D4,29/24)-MAX(C4,22/24))),0)</f>
        <v/>
      </c>
      <c r="J4" s="14" t="inlineStr">
        <is>
          <t>日曜</t>
        </is>
      </c>
      <c r="K4" s="13">
        <f>IFERROR(A4-WEEKDAY(A4,2)+1,"")</f>
        <v/>
      </c>
    </row>
    <row r="5">
      <c r="A5" s="10" t="n">
        <v>46055</v>
      </c>
      <c r="B5" s="11">
        <f>TEXT(A5,"aaa")</f>
        <v/>
      </c>
      <c r="C5" s="8" t="n">
        <v>0.2916666666666667</v>
      </c>
      <c r="D5" s="8" t="n">
        <v>0.4236111111111111</v>
      </c>
      <c r="E5" s="12">
        <f>IFERROR(IF(D5-C5&gt;TIME(9,0,0),TIME(1,0,0),IF(D5-C5&gt;TIME(6,0,0),TIME(0,45,0),0)),0)</f>
        <v/>
      </c>
      <c r="F5" s="12">
        <f>IFERROR(IF(OR(C5="",D5="",D5&lt;=C5),0,D5-C5-E5),0)</f>
        <v/>
      </c>
      <c r="G5" s="12" t="n">
        <v>0</v>
      </c>
      <c r="H5" s="12">
        <f>IFERROR(MIN(F5,MAX(0,SUMIFS(F$4:F5,K$4:K5,K5)-TIME(0,0,0)-40/24)),0)</f>
        <v/>
      </c>
      <c r="I5" s="12">
        <f>IFERROR(IF(F5=0,0,MAX(0,MIN(D5,29/24)-MAX(C5,22/24))),0)</f>
        <v/>
      </c>
      <c r="J5" s="11" t="inlineStr"/>
      <c r="K5" s="10">
        <f>IFERROR(A5-WEEKDAY(A5,2)+1,"")</f>
        <v/>
      </c>
    </row>
    <row r="6">
      <c r="A6" s="10" t="n">
        <v>46056</v>
      </c>
      <c r="B6" s="11">
        <f>TEXT(A6,"aaa")</f>
        <v/>
      </c>
      <c r="C6" s="8" t="n">
        <v>0.2916666666666667</v>
      </c>
      <c r="D6" s="8" t="n">
        <v>0.4236111111111111</v>
      </c>
      <c r="E6" s="12">
        <f>IFERROR(IF(D6-C6&gt;TIME(9,0,0),TIME(1,0,0),IF(D6-C6&gt;TIME(6,0,0),TIME(0,45,0),0)),0)</f>
        <v/>
      </c>
      <c r="F6" s="12">
        <f>IFERROR(IF(OR(C6="",D6="",D6&lt;=C6),0,D6-C6-E6),0)</f>
        <v/>
      </c>
      <c r="G6" s="12" t="n">
        <v>0</v>
      </c>
      <c r="H6" s="12">
        <f>IFERROR(MIN(F6,MAX(0,SUMIFS(F$4:F6,K$4:K6,K6)-TIME(0,0,0)-40/24)),0)</f>
        <v/>
      </c>
      <c r="I6" s="12">
        <f>IFERROR(IF(F6=0,0,MAX(0,MIN(D6,29/24)-MAX(C6,22/24))),0)</f>
        <v/>
      </c>
      <c r="J6" s="11" t="inlineStr"/>
      <c r="K6" s="10">
        <f>IFERROR(A6-WEEKDAY(A6,2)+1,"")</f>
        <v/>
      </c>
    </row>
    <row r="7">
      <c r="A7" s="10" t="n">
        <v>46057</v>
      </c>
      <c r="B7" s="11">
        <f>TEXT(A7,"aaa")</f>
        <v/>
      </c>
      <c r="C7" s="8" t="n">
        <v>0.2916666666666667</v>
      </c>
      <c r="D7" s="8" t="n">
        <v>0.4236111111111111</v>
      </c>
      <c r="E7" s="12">
        <f>IFERROR(IF(D7-C7&gt;TIME(9,0,0),TIME(1,0,0),IF(D7-C7&gt;TIME(6,0,0),TIME(0,45,0),0)),0)</f>
        <v/>
      </c>
      <c r="F7" s="12">
        <f>IFERROR(IF(OR(C7="",D7="",D7&lt;=C7),0,D7-C7-E7),0)</f>
        <v/>
      </c>
      <c r="G7" s="12" t="n">
        <v>0</v>
      </c>
      <c r="H7" s="12">
        <f>IFERROR(MIN(F7,MAX(0,SUMIFS(F$4:F7,K$4:K7,K7)-TIME(0,0,0)-40/24)),0)</f>
        <v/>
      </c>
      <c r="I7" s="12">
        <f>IFERROR(IF(F7=0,0,MAX(0,MIN(D7,29/24)-MAX(C7,22/24))),0)</f>
        <v/>
      </c>
      <c r="J7" s="11" t="inlineStr"/>
      <c r="K7" s="10">
        <f>IFERROR(A7-WEEKDAY(A7,2)+1,"")</f>
        <v/>
      </c>
    </row>
    <row r="8">
      <c r="A8" s="10" t="n">
        <v>46058</v>
      </c>
      <c r="B8" s="11">
        <f>TEXT(A8,"aaa")</f>
        <v/>
      </c>
      <c r="C8" s="8" t="n">
        <v>0.2916666666666667</v>
      </c>
      <c r="D8" s="8" t="n">
        <v>0.4236111111111111</v>
      </c>
      <c r="E8" s="12">
        <f>IFERROR(IF(D8-C8&gt;TIME(9,0,0),TIME(1,0,0),IF(D8-C8&gt;TIME(6,0,0),TIME(0,45,0),0)),0)</f>
        <v/>
      </c>
      <c r="F8" s="12">
        <f>IFERROR(IF(OR(C8="",D8="",D8&lt;=C8),0,D8-C8-E8),0)</f>
        <v/>
      </c>
      <c r="G8" s="12" t="n">
        <v>0</v>
      </c>
      <c r="H8" s="12">
        <f>IFERROR(MIN(F8,MAX(0,SUMIFS(F$4:F8,K$4:K8,K8)-TIME(0,0,0)-40/24)),0)</f>
        <v/>
      </c>
      <c r="I8" s="12">
        <f>IFERROR(IF(F8=0,0,MAX(0,MIN(D8,29/24)-MAX(C8,22/24))),0)</f>
        <v/>
      </c>
      <c r="J8" s="11" t="inlineStr"/>
      <c r="K8" s="10">
        <f>IFERROR(A8-WEEKDAY(A8,2)+1,"")</f>
        <v/>
      </c>
    </row>
    <row r="9">
      <c r="A9" s="10" t="n">
        <v>46059</v>
      </c>
      <c r="B9" s="11">
        <f>TEXT(A9,"aaa")</f>
        <v/>
      </c>
      <c r="C9" s="8" t="n">
        <v>0.2916666666666667</v>
      </c>
      <c r="D9" s="8" t="n">
        <v>0.4236111111111111</v>
      </c>
      <c r="E9" s="12">
        <f>IFERROR(IF(D9-C9&gt;TIME(9,0,0),TIME(1,0,0),IF(D9-C9&gt;TIME(6,0,0),TIME(0,45,0),0)),0)</f>
        <v/>
      </c>
      <c r="F9" s="12">
        <f>IFERROR(IF(OR(C9="",D9="",D9&lt;=C9),0,D9-C9-E9),0)</f>
        <v/>
      </c>
      <c r="G9" s="12" t="n">
        <v>0</v>
      </c>
      <c r="H9" s="12">
        <f>IFERROR(MIN(F9,MAX(0,SUMIFS(F$4:F9,K$4:K9,K9)-TIME(0,0,0)-40/24)),0)</f>
        <v/>
      </c>
      <c r="I9" s="12">
        <f>IFERROR(IF(F9=0,0,MAX(0,MIN(D9,29/24)-MAX(C9,22/24))),0)</f>
        <v/>
      </c>
      <c r="J9" s="11" t="inlineStr"/>
      <c r="K9" s="10">
        <f>IFERROR(A9-WEEKDAY(A9,2)+1,"")</f>
        <v/>
      </c>
    </row>
    <row r="10">
      <c r="A10" s="10" t="n">
        <v>46060</v>
      </c>
      <c r="B10" s="11">
        <f>TEXT(A10,"aaa")</f>
        <v/>
      </c>
      <c r="C10" s="8" t="n">
        <v>0.2916666666666667</v>
      </c>
      <c r="D10" s="8" t="n">
        <v>0.4236111111111111</v>
      </c>
      <c r="E10" s="12">
        <f>IFERROR(IF(D10-C10&gt;TIME(9,0,0),TIME(1,0,0),IF(D10-C10&gt;TIME(6,0,0),TIME(0,45,0),0)),0)</f>
        <v/>
      </c>
      <c r="F10" s="12">
        <f>IFERROR(IF(OR(C10="",D10="",D10&lt;=C10),0,D10-C10-E10),0)</f>
        <v/>
      </c>
      <c r="G10" s="12" t="n">
        <v>0</v>
      </c>
      <c r="H10" s="12">
        <f>IFERROR(MIN(F10,MAX(0,SUMIFS(F$4:F10,K$4:K10,K10)-TIME(0,0,0)-40/24)),0)</f>
        <v/>
      </c>
      <c r="I10" s="12">
        <f>IFERROR(IF(F10=0,0,MAX(0,MIN(D10,29/24)-MAX(C10,22/24))),0)</f>
        <v/>
      </c>
      <c r="J10" s="11" t="inlineStr"/>
      <c r="K10" s="10">
        <f>IFERROR(A10-WEEKDAY(A10,2)+1,"")</f>
        <v/>
      </c>
    </row>
    <row r="11">
      <c r="A11" s="13" t="n">
        <v>46061</v>
      </c>
      <c r="B11" s="14">
        <f>TEXT(A11,"aaa")</f>
        <v/>
      </c>
      <c r="C11" s="8" t="n"/>
      <c r="D11" s="8" t="n"/>
      <c r="E11" s="15">
        <f>IFERROR(IF(D11-C11&gt;TIME(9,0,0),TIME(1,0,0),IF(D11-C11&gt;TIME(6,0,0),TIME(0,45,0),0)),0)</f>
        <v/>
      </c>
      <c r="F11" s="15">
        <f>IFERROR(IF(OR(C11="",D11="",D11&lt;=C11),0,D11-C11-E11),0)</f>
        <v/>
      </c>
      <c r="G11" s="15" t="n">
        <v>0</v>
      </c>
      <c r="H11" s="15">
        <f>IFERROR(MIN(F11,MAX(0,SUMIFS(F$4:F11,K$4:K11,K11)-TIME(0,0,0)-40/24)),0)</f>
        <v/>
      </c>
      <c r="I11" s="15">
        <f>IFERROR(IF(F11=0,0,MAX(0,MIN(D11,29/24)-MAX(C11,22/24))),0)</f>
        <v/>
      </c>
      <c r="J11" s="14" t="inlineStr">
        <is>
          <t>日曜</t>
        </is>
      </c>
      <c r="K11" s="13">
        <f>IFERROR(A11-WEEKDAY(A11,2)+1,"")</f>
        <v/>
      </c>
    </row>
    <row r="12">
      <c r="A12" s="10" t="n">
        <v>46062</v>
      </c>
      <c r="B12" s="11">
        <f>TEXT(A12,"aaa")</f>
        <v/>
      </c>
      <c r="C12" s="8" t="n">
        <v>0.2916666666666667</v>
      </c>
      <c r="D12" s="8" t="n">
        <v>0.4236111111111111</v>
      </c>
      <c r="E12" s="12">
        <f>IFERROR(IF(D12-C12&gt;TIME(9,0,0),TIME(1,0,0),IF(D12-C12&gt;TIME(6,0,0),TIME(0,45,0),0)),0)</f>
        <v/>
      </c>
      <c r="F12" s="12">
        <f>IFERROR(IF(OR(C12="",D12="",D12&lt;=C12),0,D12-C12-E12),0)</f>
        <v/>
      </c>
      <c r="G12" s="12" t="n">
        <v>0</v>
      </c>
      <c r="H12" s="12">
        <f>IFERROR(MIN(F12,MAX(0,SUMIFS(F$4:F12,K$4:K12,K12)-TIME(0,0,0)-40/24)),0)</f>
        <v/>
      </c>
      <c r="I12" s="12">
        <f>IFERROR(IF(F12=0,0,MAX(0,MIN(D12,29/24)-MAX(C12,22/24))),0)</f>
        <v/>
      </c>
      <c r="J12" s="11" t="inlineStr"/>
      <c r="K12" s="10">
        <f>IFERROR(A12-WEEKDAY(A12,2)+1,"")</f>
        <v/>
      </c>
    </row>
    <row r="13">
      <c r="A13" s="10" t="n">
        <v>46063</v>
      </c>
      <c r="B13" s="11">
        <f>TEXT(A13,"aaa")</f>
        <v/>
      </c>
      <c r="C13" s="8" t="n">
        <v>0.2916666666666667</v>
      </c>
      <c r="D13" s="8" t="n">
        <v>0.4236111111111111</v>
      </c>
      <c r="E13" s="12">
        <f>IFERROR(IF(D13-C13&gt;TIME(9,0,0),TIME(1,0,0),IF(D13-C13&gt;TIME(6,0,0),TIME(0,45,0),0)),0)</f>
        <v/>
      </c>
      <c r="F13" s="12">
        <f>IFERROR(IF(OR(C13="",D13="",D13&lt;=C13),0,D13-C13-E13),0)</f>
        <v/>
      </c>
      <c r="G13" s="12" t="n">
        <v>0</v>
      </c>
      <c r="H13" s="12">
        <f>IFERROR(MIN(F13,MAX(0,SUMIFS(F$4:F13,K$4:K13,K13)-TIME(0,0,0)-40/24)),0)</f>
        <v/>
      </c>
      <c r="I13" s="12">
        <f>IFERROR(IF(F13=0,0,MAX(0,MIN(D13,29/24)-MAX(C13,22/24))),0)</f>
        <v/>
      </c>
      <c r="J13" s="11" t="inlineStr"/>
      <c r="K13" s="10">
        <f>IFERROR(A13-WEEKDAY(A13,2)+1,"")</f>
        <v/>
      </c>
    </row>
    <row r="14">
      <c r="A14" s="10" t="n">
        <v>46064</v>
      </c>
      <c r="B14" s="11">
        <f>TEXT(A14,"aaa")</f>
        <v/>
      </c>
      <c r="C14" s="8" t="n">
        <v>0.2916666666666667</v>
      </c>
      <c r="D14" s="8" t="n">
        <v>0.4236111111111111</v>
      </c>
      <c r="E14" s="12">
        <f>IFERROR(IF(D14-C14&gt;TIME(9,0,0),TIME(1,0,0),IF(D14-C14&gt;TIME(6,0,0),TIME(0,45,0),0)),0)</f>
        <v/>
      </c>
      <c r="F14" s="12">
        <f>IFERROR(IF(OR(C14="",D14="",D14&lt;=C14),0,D14-C14-E14),0)</f>
        <v/>
      </c>
      <c r="G14" s="12" t="n">
        <v>0</v>
      </c>
      <c r="H14" s="12">
        <f>IFERROR(MIN(F14,MAX(0,SUMIFS(F$4:F14,K$4:K14,K14)-TIME(0,0,0)-40/24)),0)</f>
        <v/>
      </c>
      <c r="I14" s="12">
        <f>IFERROR(IF(F14=0,0,MAX(0,MIN(D14,29/24)-MAX(C14,22/24))),0)</f>
        <v/>
      </c>
      <c r="J14" s="11" t="inlineStr"/>
      <c r="K14" s="10">
        <f>IFERROR(A14-WEEKDAY(A14,2)+1,"")</f>
        <v/>
      </c>
    </row>
    <row r="15">
      <c r="A15" s="10" t="n">
        <v>46065</v>
      </c>
      <c r="B15" s="11">
        <f>TEXT(A15,"aaa")</f>
        <v/>
      </c>
      <c r="C15" s="8" t="n">
        <v>0.2916666666666667</v>
      </c>
      <c r="D15" s="8" t="n">
        <v>0.4236111111111111</v>
      </c>
      <c r="E15" s="12">
        <f>IFERROR(IF(D15-C15&gt;TIME(9,0,0),TIME(1,0,0),IF(D15-C15&gt;TIME(6,0,0),TIME(0,45,0),0)),0)</f>
        <v/>
      </c>
      <c r="F15" s="12">
        <f>IFERROR(IF(OR(C15="",D15="",D15&lt;=C15),0,D15-C15-E15),0)</f>
        <v/>
      </c>
      <c r="G15" s="12" t="n">
        <v>0</v>
      </c>
      <c r="H15" s="12">
        <f>IFERROR(MIN(F15,MAX(0,SUMIFS(F$4:F15,K$4:K15,K15)-TIME(0,0,0)-40/24)),0)</f>
        <v/>
      </c>
      <c r="I15" s="12">
        <f>IFERROR(IF(F15=0,0,MAX(0,MIN(D15,29/24)-MAX(C15,22/24))),0)</f>
        <v/>
      </c>
      <c r="J15" s="11" t="inlineStr"/>
      <c r="K15" s="10">
        <f>IFERROR(A15-WEEKDAY(A15,2)+1,"")</f>
        <v/>
      </c>
    </row>
    <row r="16">
      <c r="A16" s="10" t="n">
        <v>46066</v>
      </c>
      <c r="B16" s="11">
        <f>TEXT(A16,"aaa")</f>
        <v/>
      </c>
      <c r="C16" s="8" t="n">
        <v>0.2916666666666667</v>
      </c>
      <c r="D16" s="8" t="n">
        <v>0.4236111111111111</v>
      </c>
      <c r="E16" s="12">
        <f>IFERROR(IF(D16-C16&gt;TIME(9,0,0),TIME(1,0,0),IF(D16-C16&gt;TIME(6,0,0),TIME(0,45,0),0)),0)</f>
        <v/>
      </c>
      <c r="F16" s="12">
        <f>IFERROR(IF(OR(C16="",D16="",D16&lt;=C16),0,D16-C16-E16),0)</f>
        <v/>
      </c>
      <c r="G16" s="12" t="n">
        <v>0</v>
      </c>
      <c r="H16" s="12">
        <f>IFERROR(MIN(F16,MAX(0,SUMIFS(F$4:F16,K$4:K16,K16)-TIME(0,0,0)-40/24)),0)</f>
        <v/>
      </c>
      <c r="I16" s="12">
        <f>IFERROR(IF(F16=0,0,MAX(0,MIN(D16,29/24)-MAX(C16,22/24))),0)</f>
        <v/>
      </c>
      <c r="J16" s="11" t="inlineStr"/>
      <c r="K16" s="10">
        <f>IFERROR(A16-WEEKDAY(A16,2)+1,"")</f>
        <v/>
      </c>
    </row>
    <row r="17">
      <c r="A17" s="10" t="n">
        <v>46067</v>
      </c>
      <c r="B17" s="11">
        <f>TEXT(A17,"aaa")</f>
        <v/>
      </c>
      <c r="C17" s="8" t="n">
        <v>0.2916666666666667</v>
      </c>
      <c r="D17" s="8" t="n">
        <v>0.4236111111111111</v>
      </c>
      <c r="E17" s="12">
        <f>IFERROR(IF(D17-C17&gt;TIME(9,0,0),TIME(1,0,0),IF(D17-C17&gt;TIME(6,0,0),TIME(0,45,0),0)),0)</f>
        <v/>
      </c>
      <c r="F17" s="12">
        <f>IFERROR(IF(OR(C17="",D17="",D17&lt;=C17),0,D17-C17-E17),0)</f>
        <v/>
      </c>
      <c r="G17" s="12" t="n">
        <v>0</v>
      </c>
      <c r="H17" s="12">
        <f>IFERROR(MIN(F17,MAX(0,SUMIFS(F$4:F17,K$4:K17,K17)-TIME(0,0,0)-40/24)),0)</f>
        <v/>
      </c>
      <c r="I17" s="12">
        <f>IFERROR(IF(F17=0,0,MAX(0,MIN(D17,29/24)-MAX(C17,22/24))),0)</f>
        <v/>
      </c>
      <c r="J17" s="11" t="inlineStr"/>
      <c r="K17" s="10">
        <f>IFERROR(A17-WEEKDAY(A17,2)+1,"")</f>
        <v/>
      </c>
    </row>
    <row r="18">
      <c r="A18" s="13" t="n">
        <v>46068</v>
      </c>
      <c r="B18" s="14">
        <f>TEXT(A18,"aaa")</f>
        <v/>
      </c>
      <c r="C18" s="8" t="n"/>
      <c r="D18" s="8" t="n"/>
      <c r="E18" s="15">
        <f>IFERROR(IF(D18-C18&gt;TIME(9,0,0),TIME(1,0,0),IF(D18-C18&gt;TIME(6,0,0),TIME(0,45,0),0)),0)</f>
        <v/>
      </c>
      <c r="F18" s="15">
        <f>IFERROR(IF(OR(C18="",D18="",D18&lt;=C18),0,D18-C18-E18),0)</f>
        <v/>
      </c>
      <c r="G18" s="15" t="n">
        <v>0</v>
      </c>
      <c r="H18" s="15">
        <f>IFERROR(MIN(F18,MAX(0,SUMIFS(F$4:F18,K$4:K18,K18)-TIME(0,0,0)-40/24)),0)</f>
        <v/>
      </c>
      <c r="I18" s="15">
        <f>IFERROR(IF(F18=0,0,MAX(0,MIN(D18,29/24)-MAX(C18,22/24))),0)</f>
        <v/>
      </c>
      <c r="J18" s="14" t="inlineStr">
        <is>
          <t>日曜</t>
        </is>
      </c>
      <c r="K18" s="13">
        <f>IFERROR(A18-WEEKDAY(A18,2)+1,"")</f>
        <v/>
      </c>
    </row>
    <row r="19">
      <c r="A19" s="10" t="n">
        <v>46069</v>
      </c>
      <c r="B19" s="11">
        <f>TEXT(A19,"aaa")</f>
        <v/>
      </c>
      <c r="C19" s="8" t="n">
        <v>0.2916666666666667</v>
      </c>
      <c r="D19" s="8" t="n">
        <v>0.6805555555555556</v>
      </c>
      <c r="E19" s="12">
        <f>IFERROR(IF(D19-C19&gt;TIME(9,0,0),TIME(1,0,0),IF(D19-C19&gt;TIME(6,0,0),TIME(0,45,0),0)),0)</f>
        <v/>
      </c>
      <c r="F19" s="12">
        <f>IFERROR(IF(OR(C19="",D19="",D19&lt;=C19),0,D19-C19-E19),0)</f>
        <v/>
      </c>
      <c r="G19" s="12" t="n">
        <v>0</v>
      </c>
      <c r="H19" s="12">
        <f>IFERROR(MIN(F19,MAX(0,SUMIFS(F$4:F19,K$4:K19,K19)-TIME(0,0,0)-40/24)),0)</f>
        <v/>
      </c>
      <c r="I19" s="12">
        <f>IFERROR(IF(F19=0,0,MAX(0,MIN(D19,29/24)-MAX(C19,22/24))),0)</f>
        <v/>
      </c>
      <c r="J19" s="11" t="inlineStr"/>
      <c r="K19" s="10">
        <f>IFERROR(A19-WEEKDAY(A19,2)+1,"")</f>
        <v/>
      </c>
    </row>
    <row r="20">
      <c r="A20" s="10" t="n">
        <v>46070</v>
      </c>
      <c r="B20" s="11">
        <f>TEXT(A20,"aaa")</f>
        <v/>
      </c>
      <c r="C20" s="8" t="n">
        <v>0.2916666666666667</v>
      </c>
      <c r="D20" s="8" t="n">
        <v>0.6805555555555556</v>
      </c>
      <c r="E20" s="12">
        <f>IFERROR(IF(D20-C20&gt;TIME(9,0,0),TIME(1,0,0),IF(D20-C20&gt;TIME(6,0,0),TIME(0,45,0),0)),0)</f>
        <v/>
      </c>
      <c r="F20" s="12">
        <f>IFERROR(IF(OR(C20="",D20="",D20&lt;=C20),0,D20-C20-E20),0)</f>
        <v/>
      </c>
      <c r="G20" s="12" t="n">
        <v>0</v>
      </c>
      <c r="H20" s="12">
        <f>IFERROR(MIN(F20,MAX(0,SUMIFS(F$4:F20,K$4:K20,K20)-TIME(0,0,0)-40/24)),0)</f>
        <v/>
      </c>
      <c r="I20" s="12">
        <f>IFERROR(IF(F20=0,0,MAX(0,MIN(D20,29/24)-MAX(C20,22/24))),0)</f>
        <v/>
      </c>
      <c r="J20" s="11" t="inlineStr"/>
      <c r="K20" s="10">
        <f>IFERROR(A20-WEEKDAY(A20,2)+1,"")</f>
        <v/>
      </c>
    </row>
    <row r="21">
      <c r="A21" s="10" t="n">
        <v>46071</v>
      </c>
      <c r="B21" s="11">
        <f>TEXT(A21,"aaa")</f>
        <v/>
      </c>
      <c r="C21" s="8" t="n">
        <v>0.2916666666666667</v>
      </c>
      <c r="D21" s="8" t="n">
        <v>0.6805555555555556</v>
      </c>
      <c r="E21" s="12">
        <f>IFERROR(IF(D21-C21&gt;TIME(9,0,0),TIME(1,0,0),IF(D21-C21&gt;TIME(6,0,0),TIME(0,45,0),0)),0)</f>
        <v/>
      </c>
      <c r="F21" s="12">
        <f>IFERROR(IF(OR(C21="",D21="",D21&lt;=C21),0,D21-C21-E21),0)</f>
        <v/>
      </c>
      <c r="G21" s="12" t="n">
        <v>0</v>
      </c>
      <c r="H21" s="12">
        <f>IFERROR(MIN(F21,MAX(0,SUMIFS(F$4:F21,K$4:K21,K21)-TIME(0,0,0)-40/24)),0)</f>
        <v/>
      </c>
      <c r="I21" s="12">
        <f>IFERROR(IF(F21=0,0,MAX(0,MIN(D21,29/24)-MAX(C21,22/24))),0)</f>
        <v/>
      </c>
      <c r="J21" s="11" t="inlineStr"/>
      <c r="K21" s="10">
        <f>IFERROR(A21-WEEKDAY(A21,2)+1,"")</f>
        <v/>
      </c>
    </row>
    <row r="22">
      <c r="A22" s="10" t="n">
        <v>46072</v>
      </c>
      <c r="B22" s="11">
        <f>TEXT(A22,"aaa")</f>
        <v/>
      </c>
      <c r="C22" s="8" t="n">
        <v>0.2916666666666667</v>
      </c>
      <c r="D22" s="8" t="n">
        <v>0.6805555555555556</v>
      </c>
      <c r="E22" s="12">
        <f>IFERROR(IF(D22-C22&gt;TIME(9,0,0),TIME(1,0,0),IF(D22-C22&gt;TIME(6,0,0),TIME(0,45,0),0)),0)</f>
        <v/>
      </c>
      <c r="F22" s="12">
        <f>IFERROR(IF(OR(C22="",D22="",D22&lt;=C22),0,D22-C22-E22),0)</f>
        <v/>
      </c>
      <c r="G22" s="12" t="n">
        <v>0</v>
      </c>
      <c r="H22" s="12">
        <f>IFERROR(MIN(F22,MAX(0,SUMIFS(F$4:F22,K$4:K22,K22)-TIME(0,0,0)-40/24)),0)</f>
        <v/>
      </c>
      <c r="I22" s="12">
        <f>IFERROR(IF(F22=0,0,MAX(0,MIN(D22,29/24)-MAX(C22,22/24))),0)</f>
        <v/>
      </c>
      <c r="J22" s="11" t="inlineStr"/>
      <c r="K22" s="10">
        <f>IFERROR(A22-WEEKDAY(A22,2)+1,"")</f>
        <v/>
      </c>
    </row>
    <row r="23">
      <c r="A23" s="10" t="n">
        <v>46073</v>
      </c>
      <c r="B23" s="11">
        <f>TEXT(A23,"aaa")</f>
        <v/>
      </c>
      <c r="C23" s="8" t="n">
        <v>0.2916666666666667</v>
      </c>
      <c r="D23" s="8" t="n">
        <v>0.6805555555555556</v>
      </c>
      <c r="E23" s="12">
        <f>IFERROR(IF(D23-C23&gt;TIME(9,0,0),TIME(1,0,0),IF(D23-C23&gt;TIME(6,0,0),TIME(0,45,0),0)),0)</f>
        <v/>
      </c>
      <c r="F23" s="12">
        <f>IFERROR(IF(OR(C23="",D23="",D23&lt;=C23),0,D23-C23-E23),0)</f>
        <v/>
      </c>
      <c r="G23" s="12" t="n">
        <v>0</v>
      </c>
      <c r="H23" s="12">
        <f>IFERROR(MIN(F23,MAX(0,SUMIFS(F$4:F23,K$4:K23,K23)-TIME(0,0,0)-40/24)),0)</f>
        <v/>
      </c>
      <c r="I23" s="12">
        <f>IFERROR(IF(F23=0,0,MAX(0,MIN(D23,29/24)-MAX(C23,22/24))),0)</f>
        <v/>
      </c>
      <c r="J23" s="11" t="inlineStr"/>
      <c r="K23" s="10">
        <f>IFERROR(A23-WEEKDAY(A23,2)+1,"")</f>
        <v/>
      </c>
    </row>
    <row r="24">
      <c r="A24" s="10" t="n">
        <v>46074</v>
      </c>
      <c r="B24" s="11">
        <f>TEXT(A24,"aaa")</f>
        <v/>
      </c>
      <c r="C24" s="8" t="n">
        <v>0.2916666666666667</v>
      </c>
      <c r="D24" s="8" t="n">
        <v>0.6805555555555556</v>
      </c>
      <c r="E24" s="12">
        <f>IFERROR(IF(D24-C24&gt;TIME(9,0,0),TIME(1,0,0),IF(D24-C24&gt;TIME(6,0,0),TIME(0,45,0),0)),0)</f>
        <v/>
      </c>
      <c r="F24" s="12">
        <f>IFERROR(IF(OR(C24="",D24="",D24&lt;=C24),0,D24-C24-E24),0)</f>
        <v/>
      </c>
      <c r="G24" s="12" t="n">
        <v>0</v>
      </c>
      <c r="H24" s="12">
        <f>IFERROR(MIN(F24,MAX(0,SUMIFS(F$4:F24,K$4:K24,K24)-TIME(0,0,0)-40/24)),0)</f>
        <v/>
      </c>
      <c r="I24" s="12">
        <f>IFERROR(IF(F24=0,0,MAX(0,MIN(D24,29/24)-MAX(C24,22/24))),0)</f>
        <v/>
      </c>
      <c r="J24" s="11" t="inlineStr"/>
      <c r="K24" s="10">
        <f>IFERROR(A24-WEEKDAY(A24,2)+1,"")</f>
        <v/>
      </c>
    </row>
    <row r="25">
      <c r="A25" s="13" t="n">
        <v>46075</v>
      </c>
      <c r="B25" s="14">
        <f>TEXT(A25,"aaa")</f>
        <v/>
      </c>
      <c r="C25" s="8" t="n"/>
      <c r="D25" s="8" t="n"/>
      <c r="E25" s="15">
        <f>IFERROR(IF(D25-C25&gt;TIME(9,0,0),TIME(1,0,0),IF(D25-C25&gt;TIME(6,0,0),TIME(0,45,0),0)),0)</f>
        <v/>
      </c>
      <c r="F25" s="15">
        <f>IFERROR(IF(OR(C25="",D25="",D25&lt;=C25),0,D25-C25-E25),0)</f>
        <v/>
      </c>
      <c r="G25" s="15" t="n">
        <v>0</v>
      </c>
      <c r="H25" s="15">
        <f>IFERROR(MIN(F25,MAX(0,SUMIFS(F$4:F25,K$4:K25,K25)-TIME(0,0,0)-40/24)),0)</f>
        <v/>
      </c>
      <c r="I25" s="15">
        <f>IFERROR(IF(F25=0,0,MAX(0,MIN(D25,29/24)-MAX(C25,22/24))),0)</f>
        <v/>
      </c>
      <c r="J25" s="14" t="inlineStr">
        <is>
          <t>日曜</t>
        </is>
      </c>
      <c r="K25" s="13">
        <f>IFERROR(A25-WEEKDAY(A25,2)+1,"")</f>
        <v/>
      </c>
    </row>
    <row r="26">
      <c r="A26" s="10" t="n">
        <v>46076</v>
      </c>
      <c r="B26" s="11">
        <f>TEXT(A26,"aaa")</f>
        <v/>
      </c>
      <c r="C26" s="8" t="n">
        <v>0.2916666666666667</v>
      </c>
      <c r="D26" s="8" t="n">
        <v>1</v>
      </c>
      <c r="E26" s="12">
        <f>IFERROR(IF(D26-C26&gt;TIME(9,0,0),TIME(1,0,0),IF(D26-C26&gt;TIME(6,0,0),TIME(0,45,0),0)),0)</f>
        <v/>
      </c>
      <c r="F26" s="12">
        <f>IFERROR(IF(OR(C26="",D26="",D26&lt;=C26),0,D26-C26-E26),0)</f>
        <v/>
      </c>
      <c r="G26" s="12" t="n">
        <v>0</v>
      </c>
      <c r="H26" s="12">
        <f>IFERROR(MIN(F26,MAX(0,SUMIFS(F$4:F26,K$4:K26,K26)-TIME(0,0,0)-40/24)),0)</f>
        <v/>
      </c>
      <c r="I26" s="12">
        <f>IFERROR(IF(F26=0,0,MAX(0,MIN(D26,29/24)-MAX(C26,22/24))),0)</f>
        <v/>
      </c>
      <c r="J26" s="11" t="inlineStr"/>
      <c r="K26" s="10">
        <f>IFERROR(A26-WEEKDAY(A26,2)+1,"")</f>
        <v/>
      </c>
    </row>
    <row r="27">
      <c r="A27" s="10" t="n">
        <v>46077</v>
      </c>
      <c r="B27" s="11">
        <f>TEXT(A27,"aaa")</f>
        <v/>
      </c>
      <c r="C27" s="8" t="n">
        <v>0.2916666666666667</v>
      </c>
      <c r="D27" s="8" t="n">
        <v>0.7916666666666666</v>
      </c>
      <c r="E27" s="12">
        <f>IFERROR(IF(D27-C27&gt;TIME(9,0,0),TIME(1,0,0),IF(D27-C27&gt;TIME(6,0,0),TIME(0,45,0),0)),0)</f>
        <v/>
      </c>
      <c r="F27" s="12">
        <f>IFERROR(IF(OR(C27="",D27="",D27&lt;=C27),0,D27-C27-E27),0)</f>
        <v/>
      </c>
      <c r="G27" s="12" t="n">
        <v>0</v>
      </c>
      <c r="H27" s="12">
        <f>IFERROR(MIN(F27,MAX(0,SUMIFS(F$4:F27,K$4:K27,K27)-TIME(0,0,0)-40/24)),0)</f>
        <v/>
      </c>
      <c r="I27" s="12">
        <f>IFERROR(IF(F27=0,0,MAX(0,MIN(D27,29/24)-MAX(C27,22/24))),0)</f>
        <v/>
      </c>
      <c r="J27" s="11" t="inlineStr"/>
      <c r="K27" s="10">
        <f>IFERROR(A27-WEEKDAY(A27,2)+1,"")</f>
        <v/>
      </c>
    </row>
    <row r="28">
      <c r="A28" s="10" t="n">
        <v>46078</v>
      </c>
      <c r="B28" s="11">
        <f>TEXT(A28,"aaa")</f>
        <v/>
      </c>
      <c r="C28" s="8" t="n">
        <v>0.2916666666666667</v>
      </c>
      <c r="D28" s="8" t="n">
        <v>0.7916666666666666</v>
      </c>
      <c r="E28" s="12">
        <f>IFERROR(IF(D28-C28&gt;TIME(9,0,0),TIME(1,0,0),IF(D28-C28&gt;TIME(6,0,0),TIME(0,45,0),0)),0)</f>
        <v/>
      </c>
      <c r="F28" s="12">
        <f>IFERROR(IF(OR(C28="",D28="",D28&lt;=C28),0,D28-C28-E28),0)</f>
        <v/>
      </c>
      <c r="G28" s="12" t="n">
        <v>0</v>
      </c>
      <c r="H28" s="12">
        <f>IFERROR(MIN(F28,MAX(0,SUMIFS(F$4:F28,K$4:K28,K28)-TIME(0,0,0)-40/24)),0)</f>
        <v/>
      </c>
      <c r="I28" s="12">
        <f>IFERROR(IF(F28=0,0,MAX(0,MIN(D28,29/24)-MAX(C28,22/24))),0)</f>
        <v/>
      </c>
      <c r="J28" s="11" t="inlineStr"/>
      <c r="K28" s="10">
        <f>IFERROR(A28-WEEKDAY(A28,2)+1,"")</f>
        <v/>
      </c>
    </row>
    <row r="29">
      <c r="A29" s="10" t="n">
        <v>46079</v>
      </c>
      <c r="B29" s="11">
        <f>TEXT(A29,"aaa")</f>
        <v/>
      </c>
      <c r="C29" s="8" t="n">
        <v>0.2916666666666667</v>
      </c>
      <c r="D29" s="8" t="n">
        <v>0.7916666666666666</v>
      </c>
      <c r="E29" s="12">
        <f>IFERROR(IF(D29-C29&gt;TIME(9,0,0),TIME(1,0,0),IF(D29-C29&gt;TIME(6,0,0),TIME(0,45,0),0)),0)</f>
        <v/>
      </c>
      <c r="F29" s="12">
        <f>IFERROR(IF(OR(C29="",D29="",D29&lt;=C29),0,D29-C29-E29),0)</f>
        <v/>
      </c>
      <c r="G29" s="12" t="n">
        <v>0</v>
      </c>
      <c r="H29" s="12">
        <f>IFERROR(MIN(F29,MAX(0,SUMIFS(F$4:F29,K$4:K29,K29)-TIME(0,0,0)-40/24)),0)</f>
        <v/>
      </c>
      <c r="I29" s="12">
        <f>IFERROR(IF(F29=0,0,MAX(0,MIN(D29,29/24)-MAX(C29,22/24))),0)</f>
        <v/>
      </c>
      <c r="J29" s="11" t="inlineStr"/>
      <c r="K29" s="10">
        <f>IFERROR(A29-WEEKDAY(A29,2)+1,"")</f>
        <v/>
      </c>
    </row>
    <row r="30">
      <c r="A30" s="10" t="n">
        <v>46080</v>
      </c>
      <c r="B30" s="11">
        <f>TEXT(A30,"aaa")</f>
        <v/>
      </c>
      <c r="C30" s="8" t="n">
        <v>0.2916666666666667</v>
      </c>
      <c r="D30" s="8" t="n">
        <v>0.7916666666666666</v>
      </c>
      <c r="E30" s="12">
        <f>IFERROR(IF(D30-C30&gt;TIME(9,0,0),TIME(1,0,0),IF(D30-C30&gt;TIME(6,0,0),TIME(0,45,0),0)),0)</f>
        <v/>
      </c>
      <c r="F30" s="12">
        <f>IFERROR(IF(OR(C30="",D30="",D30&lt;=C30),0,D30-C30-E30),0)</f>
        <v/>
      </c>
      <c r="G30" s="12" t="n">
        <v>0</v>
      </c>
      <c r="H30" s="12">
        <f>IFERROR(MIN(F30,MAX(0,SUMIFS(F$4:F30,K$4:K30,K30)-TIME(0,0,0)-40/24)),0)</f>
        <v/>
      </c>
      <c r="I30" s="12">
        <f>IFERROR(IF(F30=0,0,MAX(0,MIN(D30,29/24)-MAX(C30,22/24))),0)</f>
        <v/>
      </c>
      <c r="J30" s="11" t="inlineStr"/>
      <c r="K30" s="10">
        <f>IFERROR(A30-WEEKDAY(A30,2)+1,"")</f>
        <v/>
      </c>
    </row>
    <row r="31">
      <c r="A31" s="10" t="n">
        <v>46081</v>
      </c>
      <c r="B31" s="11">
        <f>TEXT(A31,"aaa")</f>
        <v/>
      </c>
      <c r="C31" s="8" t="n">
        <v>0.2916666666666667</v>
      </c>
      <c r="D31" s="8" t="n">
        <v>0.8333333333333334</v>
      </c>
      <c r="E31" s="12">
        <f>IFERROR(IF(D31-C31&gt;TIME(9,0,0),TIME(1,0,0),IF(D31-C31&gt;TIME(6,0,0),TIME(0,45,0),0)),0)</f>
        <v/>
      </c>
      <c r="F31" s="12">
        <f>IFERROR(IF(OR(C31="",D31="",D31&lt;=C31),0,D31-C31-E31),0)</f>
        <v/>
      </c>
      <c r="G31" s="12" t="n">
        <v>0</v>
      </c>
      <c r="H31" s="12">
        <f>IFERROR(MIN(F31,MAX(0,SUMIFS(F$4:F31,K$4:K31,K31)-TIME(0,0,0)-40/24)),0)</f>
        <v/>
      </c>
      <c r="I31" s="12">
        <f>IFERROR(IF(F31=0,0,MAX(0,MIN(D31,29/24)-MAX(C31,22/24))),0)</f>
        <v/>
      </c>
      <c r="J31" s="11" t="inlineStr"/>
      <c r="K31" s="10">
        <f>IFERROR(A31-WEEKDAY(A31,2)+1,"")</f>
        <v/>
      </c>
    </row>
    <row r="32">
      <c r="A32" s="16" t="inlineStr">
        <is>
          <t>合計</t>
        </is>
      </c>
      <c r="B32" s="16">
        <f>COUNTIF(F4:F31,"&gt;0")&amp;"日"</f>
        <v/>
      </c>
      <c r="C32" s="16" t="n"/>
      <c r="D32" s="16" t="n"/>
      <c r="E32" s="16" t="n"/>
      <c r="F32" s="17">
        <f>SUM(F4:F31)</f>
        <v/>
      </c>
      <c r="G32" s="17">
        <f>SUM(G4:G31)</f>
        <v/>
      </c>
      <c r="H32" s="17">
        <f>SUM(H4:H31)</f>
        <v/>
      </c>
      <c r="I32" s="17">
        <f>SUM(I4:I31)</f>
        <v/>
      </c>
      <c r="J32" s="16" t="n"/>
      <c r="K32" s="16" t="n"/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4" customWidth="1" min="8" max="8"/>
    <col width="12" customWidth="1" min="9" max="9"/>
    <col width="16" customWidth="1" min="10" max="10"/>
    <col hidden="1" width="11" customWidth="1" min="11" max="11"/>
  </cols>
  <sheetData>
    <row r="1" ht="22" customHeight="1">
      <c r="A1" s="4" t="inlineStr">
        <is>
          <t>出勤簿  R8.3 (2026年3月)</t>
        </is>
      </c>
    </row>
    <row r="2">
      <c r="A2" s="5" t="inlineStr">
        <is>
          <t>※ 緑色セル(始業・終業)を編集すると 休憩・労働時間・残業・深夜・合計が自動再計算されます</t>
        </is>
      </c>
    </row>
    <row r="3">
      <c r="A3" s="1" t="inlineStr">
        <is>
          <t>日付</t>
        </is>
      </c>
      <c r="B3" s="1" t="inlineStr">
        <is>
          <t>曜日</t>
        </is>
      </c>
      <c r="C3" s="1" t="inlineStr">
        <is>
          <t>始業</t>
        </is>
      </c>
      <c r="D3" s="1" t="inlineStr">
        <is>
          <t>終業</t>
        </is>
      </c>
      <c r="E3" s="1" t="inlineStr">
        <is>
          <t>休憩</t>
        </is>
      </c>
      <c r="F3" s="1" t="inlineStr">
        <is>
          <t>労働時間</t>
        </is>
      </c>
      <c r="G3" s="1" t="inlineStr">
        <is>
          <t>休日労働時間</t>
        </is>
      </c>
      <c r="H3" s="1" t="inlineStr">
        <is>
          <t>時間外労働時間</t>
        </is>
      </c>
      <c r="I3" s="1" t="inlineStr">
        <is>
          <t>深夜労働時間</t>
        </is>
      </c>
      <c r="J3" s="1" t="inlineStr">
        <is>
          <t>備考</t>
        </is>
      </c>
      <c r="K3" s="1" t="inlineStr">
        <is>
          <t>週開始(月)</t>
        </is>
      </c>
    </row>
    <row r="4">
      <c r="A4" s="13" t="n">
        <v>46082</v>
      </c>
      <c r="B4" s="14">
        <f>TEXT(A4,"aaa")</f>
        <v/>
      </c>
      <c r="C4" s="8" t="n"/>
      <c r="D4" s="8" t="n"/>
      <c r="E4" s="15">
        <f>IFERROR(IF(D4-C4&gt;TIME(9,0,0),TIME(1,0,0),IF(D4-C4&gt;TIME(6,0,0),TIME(0,45,0),0)),0)</f>
        <v/>
      </c>
      <c r="F4" s="15">
        <f>IFERROR(IF(OR(C4="",D4="",D4&lt;=C4),0,D4-C4-E4),0)</f>
        <v/>
      </c>
      <c r="G4" s="15" t="n">
        <v>0</v>
      </c>
      <c r="H4" s="15">
        <f>IFERROR(MIN(F4,MAX(0,SUMIFS(F$4:F4,K$4:K4,K4)-TIME(0,0,0)-40/24)),0)</f>
        <v/>
      </c>
      <c r="I4" s="15">
        <f>IFERROR(IF(F4=0,0,MAX(0,MIN(D4,29/24)-MAX(C4,22/24))),0)</f>
        <v/>
      </c>
      <c r="J4" s="14" t="inlineStr">
        <is>
          <t>日曜</t>
        </is>
      </c>
      <c r="K4" s="13">
        <f>IFERROR(A4-WEEKDAY(A4,2)+1,"")</f>
        <v/>
      </c>
    </row>
    <row r="5">
      <c r="A5" s="10" t="n">
        <v>46083</v>
      </c>
      <c r="B5" s="11">
        <f>TEXT(A5,"aaa")</f>
        <v/>
      </c>
      <c r="C5" s="8" t="n">
        <v>0.2916666666666667</v>
      </c>
      <c r="D5" s="8" t="n">
        <v>0.7916666666666666</v>
      </c>
      <c r="E5" s="12">
        <f>IFERROR(IF(D5-C5&gt;TIME(9,0,0),TIME(1,0,0),IF(D5-C5&gt;TIME(6,0,0),TIME(0,45,0),0)),0)</f>
        <v/>
      </c>
      <c r="F5" s="12">
        <f>IFERROR(IF(OR(C5="",D5="",D5&lt;=C5),0,D5-C5-E5),0)</f>
        <v/>
      </c>
      <c r="G5" s="12" t="n">
        <v>0</v>
      </c>
      <c r="H5" s="12">
        <f>IFERROR(MIN(F5,MAX(0,SUMIFS(F$4:F5,K$4:K5,K5)-TIME(0,0,0)-40/24)),0)</f>
        <v/>
      </c>
      <c r="I5" s="12">
        <f>IFERROR(IF(F5=0,0,MAX(0,MIN(D5,29/24)-MAX(C5,22/24))),0)</f>
        <v/>
      </c>
      <c r="J5" s="11" t="inlineStr"/>
      <c r="K5" s="10">
        <f>IFERROR(A5-WEEKDAY(A5,2)+1,"")</f>
        <v/>
      </c>
    </row>
    <row r="6">
      <c r="A6" s="10" t="n">
        <v>46084</v>
      </c>
      <c r="B6" s="11">
        <f>TEXT(A6,"aaa")</f>
        <v/>
      </c>
      <c r="C6" s="8" t="n">
        <v>0.2916666666666667</v>
      </c>
      <c r="D6" s="8" t="n">
        <v>0.7916666666666666</v>
      </c>
      <c r="E6" s="12">
        <f>IFERROR(IF(D6-C6&gt;TIME(9,0,0),TIME(1,0,0),IF(D6-C6&gt;TIME(6,0,0),TIME(0,45,0),0)),0)</f>
        <v/>
      </c>
      <c r="F6" s="12">
        <f>IFERROR(IF(OR(C6="",D6="",D6&lt;=C6),0,D6-C6-E6),0)</f>
        <v/>
      </c>
      <c r="G6" s="12" t="n">
        <v>0</v>
      </c>
      <c r="H6" s="12">
        <f>IFERROR(MIN(F6,MAX(0,SUMIFS(F$4:F6,K$4:K6,K6)-TIME(0,0,0)-40/24)),0)</f>
        <v/>
      </c>
      <c r="I6" s="12">
        <f>IFERROR(IF(F6=0,0,MAX(0,MIN(D6,29/24)-MAX(C6,22/24))),0)</f>
        <v/>
      </c>
      <c r="J6" s="11" t="inlineStr"/>
      <c r="K6" s="10">
        <f>IFERROR(A6-WEEKDAY(A6,2)+1,"")</f>
        <v/>
      </c>
    </row>
    <row r="7">
      <c r="A7" s="10" t="n">
        <v>46085</v>
      </c>
      <c r="B7" s="11">
        <f>TEXT(A7,"aaa")</f>
        <v/>
      </c>
      <c r="C7" s="8" t="n">
        <v>0.2916666666666667</v>
      </c>
      <c r="D7" s="8" t="n">
        <v>0.7916666666666666</v>
      </c>
      <c r="E7" s="12">
        <f>IFERROR(IF(D7-C7&gt;TIME(9,0,0),TIME(1,0,0),IF(D7-C7&gt;TIME(6,0,0),TIME(0,45,0),0)),0)</f>
        <v/>
      </c>
      <c r="F7" s="12">
        <f>IFERROR(IF(OR(C7="",D7="",D7&lt;=C7),0,D7-C7-E7),0)</f>
        <v/>
      </c>
      <c r="G7" s="12" t="n">
        <v>0</v>
      </c>
      <c r="H7" s="12">
        <f>IFERROR(MIN(F7,MAX(0,SUMIFS(F$4:F7,K$4:K7,K7)-TIME(0,0,0)-40/24)),0)</f>
        <v/>
      </c>
      <c r="I7" s="12">
        <f>IFERROR(IF(F7=0,0,MAX(0,MIN(D7,29/24)-MAX(C7,22/24))),0)</f>
        <v/>
      </c>
      <c r="J7" s="11" t="inlineStr"/>
      <c r="K7" s="10">
        <f>IFERROR(A7-WEEKDAY(A7,2)+1,"")</f>
        <v/>
      </c>
    </row>
    <row r="8">
      <c r="A8" s="10" t="n">
        <v>46086</v>
      </c>
      <c r="B8" s="11">
        <f>TEXT(A8,"aaa")</f>
        <v/>
      </c>
      <c r="C8" s="8" t="n">
        <v>0.2916666666666667</v>
      </c>
      <c r="D8" s="8" t="n">
        <v>0.7916666666666666</v>
      </c>
      <c r="E8" s="12">
        <f>IFERROR(IF(D8-C8&gt;TIME(9,0,0),TIME(1,0,0),IF(D8-C8&gt;TIME(6,0,0),TIME(0,45,0),0)),0)</f>
        <v/>
      </c>
      <c r="F8" s="12">
        <f>IFERROR(IF(OR(C8="",D8="",D8&lt;=C8),0,D8-C8-E8),0)</f>
        <v/>
      </c>
      <c r="G8" s="12" t="n">
        <v>0</v>
      </c>
      <c r="H8" s="12">
        <f>IFERROR(MIN(F8,MAX(0,SUMIFS(F$4:F8,K$4:K8,K8)-TIME(0,0,0)-40/24)),0)</f>
        <v/>
      </c>
      <c r="I8" s="12">
        <f>IFERROR(IF(F8=0,0,MAX(0,MIN(D8,29/24)-MAX(C8,22/24))),0)</f>
        <v/>
      </c>
      <c r="J8" s="11" t="inlineStr"/>
      <c r="K8" s="10">
        <f>IFERROR(A8-WEEKDAY(A8,2)+1,"")</f>
        <v/>
      </c>
    </row>
    <row r="9">
      <c r="A9" s="10" t="n">
        <v>46087</v>
      </c>
      <c r="B9" s="11">
        <f>TEXT(A9,"aaa")</f>
        <v/>
      </c>
      <c r="C9" s="8" t="n">
        <v>0.2916666666666667</v>
      </c>
      <c r="D9" s="8" t="n">
        <v>0.7916666666666666</v>
      </c>
      <c r="E9" s="12">
        <f>IFERROR(IF(D9-C9&gt;TIME(9,0,0),TIME(1,0,0),IF(D9-C9&gt;TIME(6,0,0),TIME(0,45,0),0)),0)</f>
        <v/>
      </c>
      <c r="F9" s="12">
        <f>IFERROR(IF(OR(C9="",D9="",D9&lt;=C9),0,D9-C9-E9),0)</f>
        <v/>
      </c>
      <c r="G9" s="12" t="n">
        <v>0</v>
      </c>
      <c r="H9" s="12">
        <f>IFERROR(MIN(F9,MAX(0,SUMIFS(F$4:F9,K$4:K9,K9)-TIME(0,0,0)-40/24)),0)</f>
        <v/>
      </c>
      <c r="I9" s="12">
        <f>IFERROR(IF(F9=0,0,MAX(0,MIN(D9,29/24)-MAX(C9,22/24))),0)</f>
        <v/>
      </c>
      <c r="J9" s="11" t="inlineStr"/>
      <c r="K9" s="10">
        <f>IFERROR(A9-WEEKDAY(A9,2)+1,"")</f>
        <v/>
      </c>
    </row>
    <row r="10">
      <c r="A10" s="10" t="n">
        <v>46088</v>
      </c>
      <c r="B10" s="11">
        <f>TEXT(A10,"aaa")</f>
        <v/>
      </c>
      <c r="C10" s="8" t="n">
        <v>0.2916666666666667</v>
      </c>
      <c r="D10" s="8" t="n">
        <v>0.7916666666666666</v>
      </c>
      <c r="E10" s="12">
        <f>IFERROR(IF(D10-C10&gt;TIME(9,0,0),TIME(1,0,0),IF(D10-C10&gt;TIME(6,0,0),TIME(0,45,0),0)),0)</f>
        <v/>
      </c>
      <c r="F10" s="12">
        <f>IFERROR(IF(OR(C10="",D10="",D10&lt;=C10),0,D10-C10-E10),0)</f>
        <v/>
      </c>
      <c r="G10" s="12" t="n">
        <v>0</v>
      </c>
      <c r="H10" s="12">
        <f>IFERROR(MIN(F10,MAX(0,SUMIFS(F$4:F10,K$4:K10,K10)-TIME(0,0,0)-40/24)),0)</f>
        <v/>
      </c>
      <c r="I10" s="12">
        <f>IFERROR(IF(F10=0,0,MAX(0,MIN(D10,29/24)-MAX(C10,22/24))),0)</f>
        <v/>
      </c>
      <c r="J10" s="11" t="inlineStr"/>
      <c r="K10" s="10">
        <f>IFERROR(A10-WEEKDAY(A10,2)+1,"")</f>
        <v/>
      </c>
    </row>
    <row r="11">
      <c r="A11" s="13" t="n">
        <v>46089</v>
      </c>
      <c r="B11" s="14">
        <f>TEXT(A11,"aaa")</f>
        <v/>
      </c>
      <c r="C11" s="8" t="n"/>
      <c r="D11" s="8" t="n"/>
      <c r="E11" s="15">
        <f>IFERROR(IF(D11-C11&gt;TIME(9,0,0),TIME(1,0,0),IF(D11-C11&gt;TIME(6,0,0),TIME(0,45,0),0)),0)</f>
        <v/>
      </c>
      <c r="F11" s="15">
        <f>IFERROR(IF(OR(C11="",D11="",D11&lt;=C11),0,D11-C11-E11),0)</f>
        <v/>
      </c>
      <c r="G11" s="15" t="n">
        <v>0</v>
      </c>
      <c r="H11" s="15">
        <f>IFERROR(MIN(F11,MAX(0,SUMIFS(F$4:F11,K$4:K11,K11)-TIME(0,0,0)-40/24)),0)</f>
        <v/>
      </c>
      <c r="I11" s="15">
        <f>IFERROR(IF(F11=0,0,MAX(0,MIN(D11,29/24)-MAX(C11,22/24))),0)</f>
        <v/>
      </c>
      <c r="J11" s="14" t="inlineStr">
        <is>
          <t>日曜</t>
        </is>
      </c>
      <c r="K11" s="13">
        <f>IFERROR(A11-WEEKDAY(A11,2)+1,"")</f>
        <v/>
      </c>
    </row>
    <row r="12">
      <c r="A12" s="10" t="n">
        <v>46090</v>
      </c>
      <c r="B12" s="11">
        <f>TEXT(A12,"aaa")</f>
        <v/>
      </c>
      <c r="C12" s="8" t="n">
        <v>0.2916666666666667</v>
      </c>
      <c r="D12" s="8" t="n">
        <v>0.4583333333333333</v>
      </c>
      <c r="E12" s="12">
        <f>IFERROR(IF(D12-C12&gt;TIME(9,0,0),TIME(1,0,0),IF(D12-C12&gt;TIME(6,0,0),TIME(0,45,0),0)),0)</f>
        <v/>
      </c>
      <c r="F12" s="12">
        <f>IFERROR(IF(OR(C12="",D12="",D12&lt;=C12),0,D12-C12-E12),0)</f>
        <v/>
      </c>
      <c r="G12" s="12" t="n">
        <v>0</v>
      </c>
      <c r="H12" s="12">
        <f>IFERROR(MIN(F12,MAX(0,SUMIFS(F$4:F12,K$4:K12,K12)-TIME(0,0,0)-40/24)),0)</f>
        <v/>
      </c>
      <c r="I12" s="12">
        <f>IFERROR(IF(F12=0,0,MAX(0,MIN(D12,29/24)-MAX(C12,22/24))),0)</f>
        <v/>
      </c>
      <c r="J12" s="11" t="inlineStr"/>
      <c r="K12" s="10">
        <f>IFERROR(A12-WEEKDAY(A12,2)+1,"")</f>
        <v/>
      </c>
    </row>
    <row r="13">
      <c r="A13" s="10" t="n">
        <v>46091</v>
      </c>
      <c r="B13" s="11">
        <f>TEXT(A13,"aaa")</f>
        <v/>
      </c>
      <c r="C13" s="8" t="n">
        <v>0.2916666666666667</v>
      </c>
      <c r="D13" s="8" t="n">
        <v>0.4583333333333333</v>
      </c>
      <c r="E13" s="12">
        <f>IFERROR(IF(D13-C13&gt;TIME(9,0,0),TIME(1,0,0),IF(D13-C13&gt;TIME(6,0,0),TIME(0,45,0),0)),0)</f>
        <v/>
      </c>
      <c r="F13" s="12">
        <f>IFERROR(IF(OR(C13="",D13="",D13&lt;=C13),0,D13-C13-E13),0)</f>
        <v/>
      </c>
      <c r="G13" s="12" t="n">
        <v>0</v>
      </c>
      <c r="H13" s="12">
        <f>IFERROR(MIN(F13,MAX(0,SUMIFS(F$4:F13,K$4:K13,K13)-TIME(0,0,0)-40/24)),0)</f>
        <v/>
      </c>
      <c r="I13" s="12">
        <f>IFERROR(IF(F13=0,0,MAX(0,MIN(D13,29/24)-MAX(C13,22/24))),0)</f>
        <v/>
      </c>
      <c r="J13" s="11" t="inlineStr"/>
      <c r="K13" s="10">
        <f>IFERROR(A13-WEEKDAY(A13,2)+1,"")</f>
        <v/>
      </c>
    </row>
    <row r="14">
      <c r="A14" s="10" t="n">
        <v>46092</v>
      </c>
      <c r="B14" s="11">
        <f>TEXT(A14,"aaa")</f>
        <v/>
      </c>
      <c r="C14" s="8" t="n">
        <v>0.2916666666666667</v>
      </c>
      <c r="D14" s="8" t="n">
        <v>0.4583333333333333</v>
      </c>
      <c r="E14" s="12">
        <f>IFERROR(IF(D14-C14&gt;TIME(9,0,0),TIME(1,0,0),IF(D14-C14&gt;TIME(6,0,0),TIME(0,45,0),0)),0)</f>
        <v/>
      </c>
      <c r="F14" s="12">
        <f>IFERROR(IF(OR(C14="",D14="",D14&lt;=C14),0,D14-C14-E14),0)</f>
        <v/>
      </c>
      <c r="G14" s="12" t="n">
        <v>0</v>
      </c>
      <c r="H14" s="12">
        <f>IFERROR(MIN(F14,MAX(0,SUMIFS(F$4:F14,K$4:K14,K14)-TIME(0,0,0)-40/24)),0)</f>
        <v/>
      </c>
      <c r="I14" s="12">
        <f>IFERROR(IF(F14=0,0,MAX(0,MIN(D14,29/24)-MAX(C14,22/24))),0)</f>
        <v/>
      </c>
      <c r="J14" s="11" t="inlineStr"/>
      <c r="K14" s="10">
        <f>IFERROR(A14-WEEKDAY(A14,2)+1,"")</f>
        <v/>
      </c>
    </row>
    <row r="15">
      <c r="A15" s="10" t="n">
        <v>46093</v>
      </c>
      <c r="B15" s="11">
        <f>TEXT(A15,"aaa")</f>
        <v/>
      </c>
      <c r="C15" s="8" t="n">
        <v>0.2916666666666667</v>
      </c>
      <c r="D15" s="8" t="n">
        <v>0.4583333333333333</v>
      </c>
      <c r="E15" s="12">
        <f>IFERROR(IF(D15-C15&gt;TIME(9,0,0),TIME(1,0,0),IF(D15-C15&gt;TIME(6,0,0),TIME(0,45,0),0)),0)</f>
        <v/>
      </c>
      <c r="F15" s="12">
        <f>IFERROR(IF(OR(C15="",D15="",D15&lt;=C15),0,D15-C15-E15),0)</f>
        <v/>
      </c>
      <c r="G15" s="12" t="n">
        <v>0</v>
      </c>
      <c r="H15" s="12">
        <f>IFERROR(MIN(F15,MAX(0,SUMIFS(F$4:F15,K$4:K15,K15)-TIME(0,0,0)-40/24)),0)</f>
        <v/>
      </c>
      <c r="I15" s="12">
        <f>IFERROR(IF(F15=0,0,MAX(0,MIN(D15,29/24)-MAX(C15,22/24))),0)</f>
        <v/>
      </c>
      <c r="J15" s="11" t="inlineStr"/>
      <c r="K15" s="10">
        <f>IFERROR(A15-WEEKDAY(A15,2)+1,"")</f>
        <v/>
      </c>
    </row>
    <row r="16">
      <c r="A16" s="10" t="n">
        <v>46094</v>
      </c>
      <c r="B16" s="11">
        <f>TEXT(A16,"aaa")</f>
        <v/>
      </c>
      <c r="C16" s="8" t="n">
        <v>0.2916666666666667</v>
      </c>
      <c r="D16" s="8" t="n">
        <v>0.4583333333333333</v>
      </c>
      <c r="E16" s="12">
        <f>IFERROR(IF(D16-C16&gt;TIME(9,0,0),TIME(1,0,0),IF(D16-C16&gt;TIME(6,0,0),TIME(0,45,0),0)),0)</f>
        <v/>
      </c>
      <c r="F16" s="12">
        <f>IFERROR(IF(OR(C16="",D16="",D16&lt;=C16),0,D16-C16-E16),0)</f>
        <v/>
      </c>
      <c r="G16" s="12" t="n">
        <v>0</v>
      </c>
      <c r="H16" s="12">
        <f>IFERROR(MIN(F16,MAX(0,SUMIFS(F$4:F16,K$4:K16,K16)-TIME(0,0,0)-40/24)),0)</f>
        <v/>
      </c>
      <c r="I16" s="12">
        <f>IFERROR(IF(F16=0,0,MAX(0,MIN(D16,29/24)-MAX(C16,22/24))),0)</f>
        <v/>
      </c>
      <c r="J16" s="11" t="inlineStr"/>
      <c r="K16" s="10">
        <f>IFERROR(A16-WEEKDAY(A16,2)+1,"")</f>
        <v/>
      </c>
    </row>
    <row r="17">
      <c r="A17" s="10" t="n">
        <v>46095</v>
      </c>
      <c r="B17" s="11">
        <f>TEXT(A17,"aaa")</f>
        <v/>
      </c>
      <c r="C17" s="8" t="n">
        <v>0.2916666666666667</v>
      </c>
      <c r="D17" s="8" t="n">
        <v>0.4583333333333333</v>
      </c>
      <c r="E17" s="12">
        <f>IFERROR(IF(D17-C17&gt;TIME(9,0,0),TIME(1,0,0),IF(D17-C17&gt;TIME(6,0,0),TIME(0,45,0),0)),0)</f>
        <v/>
      </c>
      <c r="F17" s="12">
        <f>IFERROR(IF(OR(C17="",D17="",D17&lt;=C17),0,D17-C17-E17),0)</f>
        <v/>
      </c>
      <c r="G17" s="12" t="n">
        <v>0</v>
      </c>
      <c r="H17" s="12">
        <f>IFERROR(MIN(F17,MAX(0,SUMIFS(F$4:F17,K$4:K17,K17)-TIME(0,0,0)-40/24)),0)</f>
        <v/>
      </c>
      <c r="I17" s="12">
        <f>IFERROR(IF(F17=0,0,MAX(0,MIN(D17,29/24)-MAX(C17,22/24))),0)</f>
        <v/>
      </c>
      <c r="J17" s="11" t="inlineStr"/>
      <c r="K17" s="10">
        <f>IFERROR(A17-WEEKDAY(A17,2)+1,"")</f>
        <v/>
      </c>
    </row>
    <row r="18">
      <c r="A18" s="13" t="n">
        <v>46096</v>
      </c>
      <c r="B18" s="14">
        <f>TEXT(A18,"aaa")</f>
        <v/>
      </c>
      <c r="C18" s="8" t="n"/>
      <c r="D18" s="8" t="n"/>
      <c r="E18" s="15">
        <f>IFERROR(IF(D18-C18&gt;TIME(9,0,0),TIME(1,0,0),IF(D18-C18&gt;TIME(6,0,0),TIME(0,45,0),0)),0)</f>
        <v/>
      </c>
      <c r="F18" s="15">
        <f>IFERROR(IF(OR(C18="",D18="",D18&lt;=C18),0,D18-C18-E18),0)</f>
        <v/>
      </c>
      <c r="G18" s="15" t="n">
        <v>0</v>
      </c>
      <c r="H18" s="15">
        <f>IFERROR(MIN(F18,MAX(0,SUMIFS(F$4:F18,K$4:K18,K18)-TIME(0,0,0)-40/24)),0)</f>
        <v/>
      </c>
      <c r="I18" s="15">
        <f>IFERROR(IF(F18=0,0,MAX(0,MIN(D18,29/24)-MAX(C18,22/24))),0)</f>
        <v/>
      </c>
      <c r="J18" s="14" t="inlineStr">
        <is>
          <t>日曜</t>
        </is>
      </c>
      <c r="K18" s="13">
        <f>IFERROR(A18-WEEKDAY(A18,2)+1,"")</f>
        <v/>
      </c>
    </row>
    <row r="19">
      <c r="A19" s="10" t="n">
        <v>46097</v>
      </c>
      <c r="B19" s="11">
        <f>TEXT(A19,"aaa")</f>
        <v/>
      </c>
      <c r="C19" s="8" t="n">
        <v>0.2916666666666667</v>
      </c>
      <c r="D19" s="8" t="n">
        <v>0.8333333333333334</v>
      </c>
      <c r="E19" s="12">
        <f>IFERROR(IF(D19-C19&gt;TIME(9,0,0),TIME(1,0,0),IF(D19-C19&gt;TIME(6,0,0),TIME(0,45,0),0)),0)</f>
        <v/>
      </c>
      <c r="F19" s="12">
        <f>IFERROR(IF(OR(C19="",D19="",D19&lt;=C19),0,D19-C19-E19),0)</f>
        <v/>
      </c>
      <c r="G19" s="12" t="n">
        <v>0</v>
      </c>
      <c r="H19" s="12">
        <f>IFERROR(MIN(F19,MAX(0,SUMIFS(F$4:F19,K$4:K19,K19)-TIME(0,0,0)-40/24)),0)</f>
        <v/>
      </c>
      <c r="I19" s="12">
        <f>IFERROR(IF(F19=0,0,MAX(0,MIN(D19,29/24)-MAX(C19,22/24))),0)</f>
        <v/>
      </c>
      <c r="J19" s="11" t="inlineStr"/>
      <c r="K19" s="10">
        <f>IFERROR(A19-WEEKDAY(A19,2)+1,"")</f>
        <v/>
      </c>
    </row>
    <row r="20">
      <c r="A20" s="10" t="n">
        <v>46098</v>
      </c>
      <c r="B20" s="11">
        <f>TEXT(A20,"aaa")</f>
        <v/>
      </c>
      <c r="C20" s="8" t="n">
        <v>0.2916666666666667</v>
      </c>
      <c r="D20" s="8" t="n">
        <v>0.8333333333333334</v>
      </c>
      <c r="E20" s="12">
        <f>IFERROR(IF(D20-C20&gt;TIME(9,0,0),TIME(1,0,0),IF(D20-C20&gt;TIME(6,0,0),TIME(0,45,0),0)),0)</f>
        <v/>
      </c>
      <c r="F20" s="12">
        <f>IFERROR(IF(OR(C20="",D20="",D20&lt;=C20),0,D20-C20-E20),0)</f>
        <v/>
      </c>
      <c r="G20" s="12" t="n">
        <v>0</v>
      </c>
      <c r="H20" s="12">
        <f>IFERROR(MIN(F20,MAX(0,SUMIFS(F$4:F20,K$4:K20,K20)-TIME(0,0,0)-40/24)),0)</f>
        <v/>
      </c>
      <c r="I20" s="12">
        <f>IFERROR(IF(F20=0,0,MAX(0,MIN(D20,29/24)-MAX(C20,22/24))),0)</f>
        <v/>
      </c>
      <c r="J20" s="11" t="inlineStr"/>
      <c r="K20" s="10">
        <f>IFERROR(A20-WEEKDAY(A20,2)+1,"")</f>
        <v/>
      </c>
    </row>
    <row r="21">
      <c r="A21" s="10" t="n">
        <v>46099</v>
      </c>
      <c r="B21" s="11">
        <f>TEXT(A21,"aaa")</f>
        <v/>
      </c>
      <c r="C21" s="8" t="n">
        <v>0.2916666666666667</v>
      </c>
      <c r="D21" s="8" t="n">
        <v>0.8333333333333334</v>
      </c>
      <c r="E21" s="12">
        <f>IFERROR(IF(D21-C21&gt;TIME(9,0,0),TIME(1,0,0),IF(D21-C21&gt;TIME(6,0,0),TIME(0,45,0),0)),0)</f>
        <v/>
      </c>
      <c r="F21" s="12">
        <f>IFERROR(IF(OR(C21="",D21="",D21&lt;=C21),0,D21-C21-E21),0)</f>
        <v/>
      </c>
      <c r="G21" s="12" t="n">
        <v>0</v>
      </c>
      <c r="H21" s="12">
        <f>IFERROR(MIN(F21,MAX(0,SUMIFS(F$4:F21,K$4:K21,K21)-TIME(0,0,0)-40/24)),0)</f>
        <v/>
      </c>
      <c r="I21" s="12">
        <f>IFERROR(IF(F21=0,0,MAX(0,MIN(D21,29/24)-MAX(C21,22/24))),0)</f>
        <v/>
      </c>
      <c r="J21" s="11" t="inlineStr"/>
      <c r="K21" s="10">
        <f>IFERROR(A21-WEEKDAY(A21,2)+1,"")</f>
        <v/>
      </c>
    </row>
    <row r="22">
      <c r="A22" s="10" t="n">
        <v>46100</v>
      </c>
      <c r="B22" s="11">
        <f>TEXT(A22,"aaa")</f>
        <v/>
      </c>
      <c r="C22" s="8" t="n">
        <v>0.2916666666666667</v>
      </c>
      <c r="D22" s="8" t="n">
        <v>0.8333333333333334</v>
      </c>
      <c r="E22" s="12">
        <f>IFERROR(IF(D22-C22&gt;TIME(9,0,0),TIME(1,0,0),IF(D22-C22&gt;TIME(6,0,0),TIME(0,45,0),0)),0)</f>
        <v/>
      </c>
      <c r="F22" s="12">
        <f>IFERROR(IF(OR(C22="",D22="",D22&lt;=C22),0,D22-C22-E22),0)</f>
        <v/>
      </c>
      <c r="G22" s="12" t="n">
        <v>0</v>
      </c>
      <c r="H22" s="12">
        <f>IFERROR(MIN(F22,MAX(0,SUMIFS(F$4:F22,K$4:K22,K22)-TIME(0,0,0)-40/24)),0)</f>
        <v/>
      </c>
      <c r="I22" s="12">
        <f>IFERROR(IF(F22=0,0,MAX(0,MIN(D22,29/24)-MAX(C22,22/24))),0)</f>
        <v/>
      </c>
      <c r="J22" s="11" t="inlineStr"/>
      <c r="K22" s="10">
        <f>IFERROR(A22-WEEKDAY(A22,2)+1,"")</f>
        <v/>
      </c>
    </row>
    <row r="23">
      <c r="A23" s="6" t="n">
        <v>46101</v>
      </c>
      <c r="B23" s="7">
        <f>TEXT(A23,"aaa")</f>
        <v/>
      </c>
      <c r="C23" s="8" t="n"/>
      <c r="D23" s="8" t="n"/>
      <c r="E23" s="9">
        <f>IFERROR(IF(D23-C23&gt;TIME(9,0,0),TIME(1,0,0),IF(D23-C23&gt;TIME(6,0,0),TIME(0,45,0),0)),0)</f>
        <v/>
      </c>
      <c r="F23" s="9">
        <f>IFERROR(IF(OR(C23="",D23="",D23&lt;=C23),0,D23-C23-E23),0)</f>
        <v/>
      </c>
      <c r="G23" s="9" t="n">
        <v>0</v>
      </c>
      <c r="H23" s="9">
        <f>IFERROR(MIN(F23,MAX(0,SUMIFS(F$4:F23,K$4:K23,K23)-TIME(0,0,0)-40/24)),0)</f>
        <v/>
      </c>
      <c r="I23" s="9">
        <f>IFERROR(IF(F23=0,0,MAX(0,MIN(D23,29/24)-MAX(C23,22/24))),0)</f>
        <v/>
      </c>
      <c r="J23" s="7" t="inlineStr">
        <is>
          <t>春分の日</t>
        </is>
      </c>
      <c r="K23" s="6">
        <f>IFERROR(A23-WEEKDAY(A23,2)+1,"")</f>
        <v/>
      </c>
    </row>
    <row r="24">
      <c r="A24" s="10" t="n">
        <v>46102</v>
      </c>
      <c r="B24" s="11">
        <f>TEXT(A24,"aaa")</f>
        <v/>
      </c>
      <c r="C24" s="8" t="n">
        <v>0.2916666666666667</v>
      </c>
      <c r="D24" s="8" t="n">
        <v>0.8333333333333334</v>
      </c>
      <c r="E24" s="12">
        <f>IFERROR(IF(D24-C24&gt;TIME(9,0,0),TIME(1,0,0),IF(D24-C24&gt;TIME(6,0,0),TIME(0,45,0),0)),0)</f>
        <v/>
      </c>
      <c r="F24" s="12">
        <f>IFERROR(IF(OR(C24="",D24="",D24&lt;=C24),0,D24-C24-E24),0)</f>
        <v/>
      </c>
      <c r="G24" s="12" t="n">
        <v>0</v>
      </c>
      <c r="H24" s="12">
        <f>IFERROR(MIN(F24,MAX(0,SUMIFS(F$4:F24,K$4:K24,K24)-TIME(0,0,0)-40/24)),0)</f>
        <v/>
      </c>
      <c r="I24" s="12">
        <f>IFERROR(IF(F24=0,0,MAX(0,MIN(D24,29/24)-MAX(C24,22/24))),0)</f>
        <v/>
      </c>
      <c r="J24" s="11" t="inlineStr"/>
      <c r="K24" s="10">
        <f>IFERROR(A24-WEEKDAY(A24,2)+1,"")</f>
        <v/>
      </c>
    </row>
    <row r="25">
      <c r="A25" s="13" t="n">
        <v>46103</v>
      </c>
      <c r="B25" s="14">
        <f>TEXT(A25,"aaa")</f>
        <v/>
      </c>
      <c r="C25" s="8" t="n"/>
      <c r="D25" s="8" t="n"/>
      <c r="E25" s="15">
        <f>IFERROR(IF(D25-C25&gt;TIME(9,0,0),TIME(1,0,0),IF(D25-C25&gt;TIME(6,0,0),TIME(0,45,0),0)),0)</f>
        <v/>
      </c>
      <c r="F25" s="15">
        <f>IFERROR(IF(OR(C25="",D25="",D25&lt;=C25),0,D25-C25-E25),0)</f>
        <v/>
      </c>
      <c r="G25" s="15" t="n">
        <v>0</v>
      </c>
      <c r="H25" s="15">
        <f>IFERROR(MIN(F25,MAX(0,SUMIFS(F$4:F25,K$4:K25,K25)-TIME(0,0,0)-40/24)),0)</f>
        <v/>
      </c>
      <c r="I25" s="15">
        <f>IFERROR(IF(F25=0,0,MAX(0,MIN(D25,29/24)-MAX(C25,22/24))),0)</f>
        <v/>
      </c>
      <c r="J25" s="14" t="inlineStr">
        <is>
          <t>日曜</t>
        </is>
      </c>
      <c r="K25" s="13">
        <f>IFERROR(A25-WEEKDAY(A25,2)+1,"")</f>
        <v/>
      </c>
    </row>
    <row r="26">
      <c r="A26" s="10" t="n">
        <v>46104</v>
      </c>
      <c r="B26" s="11">
        <f>TEXT(A26,"aaa")</f>
        <v/>
      </c>
      <c r="C26" s="8" t="n">
        <v>0.2916666666666667</v>
      </c>
      <c r="D26" s="8" t="n">
        <v>0.4166666666666667</v>
      </c>
      <c r="E26" s="12">
        <f>IFERROR(IF(D26-C26&gt;TIME(9,0,0),TIME(1,0,0),IF(D26-C26&gt;TIME(6,0,0),TIME(0,45,0),0)),0)</f>
        <v/>
      </c>
      <c r="F26" s="12">
        <f>IFERROR(IF(OR(C26="",D26="",D26&lt;=C26),0,D26-C26-E26),0)</f>
        <v/>
      </c>
      <c r="G26" s="12" t="n">
        <v>0</v>
      </c>
      <c r="H26" s="12">
        <f>IFERROR(MIN(F26,MAX(0,SUMIFS(F$4:F26,K$4:K26,K26)-TIME(0,0,0)-40/24)),0)</f>
        <v/>
      </c>
      <c r="I26" s="12">
        <f>IFERROR(IF(F26=0,0,MAX(0,MIN(D26,29/24)-MAX(C26,22/24))),0)</f>
        <v/>
      </c>
      <c r="J26" s="11" t="inlineStr"/>
      <c r="K26" s="10">
        <f>IFERROR(A26-WEEKDAY(A26,2)+1,"")</f>
        <v/>
      </c>
    </row>
    <row r="27">
      <c r="A27" s="10" t="n">
        <v>46105</v>
      </c>
      <c r="B27" s="11">
        <f>TEXT(A27,"aaa")</f>
        <v/>
      </c>
      <c r="C27" s="8" t="n">
        <v>0.2916666666666667</v>
      </c>
      <c r="D27" s="8" t="n">
        <v>0.4166666666666667</v>
      </c>
      <c r="E27" s="12">
        <f>IFERROR(IF(D27-C27&gt;TIME(9,0,0),TIME(1,0,0),IF(D27-C27&gt;TIME(6,0,0),TIME(0,45,0),0)),0)</f>
        <v/>
      </c>
      <c r="F27" s="12">
        <f>IFERROR(IF(OR(C27="",D27="",D27&lt;=C27),0,D27-C27-E27),0)</f>
        <v/>
      </c>
      <c r="G27" s="12" t="n">
        <v>0</v>
      </c>
      <c r="H27" s="12">
        <f>IFERROR(MIN(F27,MAX(0,SUMIFS(F$4:F27,K$4:K27,K27)-TIME(0,0,0)-40/24)),0)</f>
        <v/>
      </c>
      <c r="I27" s="12">
        <f>IFERROR(IF(F27=0,0,MAX(0,MIN(D27,29/24)-MAX(C27,22/24))),0)</f>
        <v/>
      </c>
      <c r="J27" s="11" t="inlineStr"/>
      <c r="K27" s="10">
        <f>IFERROR(A27-WEEKDAY(A27,2)+1,"")</f>
        <v/>
      </c>
    </row>
    <row r="28">
      <c r="A28" s="10" t="n">
        <v>46106</v>
      </c>
      <c r="B28" s="11">
        <f>TEXT(A28,"aaa")</f>
        <v/>
      </c>
      <c r="C28" s="8" t="n">
        <v>0.2916666666666667</v>
      </c>
      <c r="D28" s="8" t="n">
        <v>0.4166666666666667</v>
      </c>
      <c r="E28" s="12">
        <f>IFERROR(IF(D28-C28&gt;TIME(9,0,0),TIME(1,0,0),IF(D28-C28&gt;TIME(6,0,0),TIME(0,45,0),0)),0)</f>
        <v/>
      </c>
      <c r="F28" s="12">
        <f>IFERROR(IF(OR(C28="",D28="",D28&lt;=C28),0,D28-C28-E28),0)</f>
        <v/>
      </c>
      <c r="G28" s="12" t="n">
        <v>0</v>
      </c>
      <c r="H28" s="12">
        <f>IFERROR(MIN(F28,MAX(0,SUMIFS(F$4:F28,K$4:K28,K28)-TIME(0,0,0)-40/24)),0)</f>
        <v/>
      </c>
      <c r="I28" s="12">
        <f>IFERROR(IF(F28=0,0,MAX(0,MIN(D28,29/24)-MAX(C28,22/24))),0)</f>
        <v/>
      </c>
      <c r="J28" s="11" t="inlineStr"/>
      <c r="K28" s="10">
        <f>IFERROR(A28-WEEKDAY(A28,2)+1,"")</f>
        <v/>
      </c>
    </row>
    <row r="29">
      <c r="A29" s="10" t="n">
        <v>46107</v>
      </c>
      <c r="B29" s="11">
        <f>TEXT(A29,"aaa")</f>
        <v/>
      </c>
      <c r="C29" s="8" t="n">
        <v>0.2916666666666667</v>
      </c>
      <c r="D29" s="8" t="n">
        <v>0.4166666666666667</v>
      </c>
      <c r="E29" s="12">
        <f>IFERROR(IF(D29-C29&gt;TIME(9,0,0),TIME(1,0,0),IF(D29-C29&gt;TIME(6,0,0),TIME(0,45,0),0)),0)</f>
        <v/>
      </c>
      <c r="F29" s="12">
        <f>IFERROR(IF(OR(C29="",D29="",D29&lt;=C29),0,D29-C29-E29),0)</f>
        <v/>
      </c>
      <c r="G29" s="12" t="n">
        <v>0</v>
      </c>
      <c r="H29" s="12">
        <f>IFERROR(MIN(F29,MAX(0,SUMIFS(F$4:F29,K$4:K29,K29)-TIME(0,0,0)-40/24)),0)</f>
        <v/>
      </c>
      <c r="I29" s="12">
        <f>IFERROR(IF(F29=0,0,MAX(0,MIN(D29,29/24)-MAX(C29,22/24))),0)</f>
        <v/>
      </c>
      <c r="J29" s="11" t="inlineStr"/>
      <c r="K29" s="10">
        <f>IFERROR(A29-WEEKDAY(A29,2)+1,"")</f>
        <v/>
      </c>
    </row>
    <row r="30">
      <c r="A30" s="10" t="n">
        <v>46108</v>
      </c>
      <c r="B30" s="11">
        <f>TEXT(A30,"aaa")</f>
        <v/>
      </c>
      <c r="C30" s="8" t="n">
        <v>0.2916666666666667</v>
      </c>
      <c r="D30" s="8" t="n">
        <v>0.4166666666666667</v>
      </c>
      <c r="E30" s="12">
        <f>IFERROR(IF(D30-C30&gt;TIME(9,0,0),TIME(1,0,0),IF(D30-C30&gt;TIME(6,0,0),TIME(0,45,0),0)),0)</f>
        <v/>
      </c>
      <c r="F30" s="12">
        <f>IFERROR(IF(OR(C30="",D30="",D30&lt;=C30),0,D30-C30-E30),0)</f>
        <v/>
      </c>
      <c r="G30" s="12" t="n">
        <v>0</v>
      </c>
      <c r="H30" s="12">
        <f>IFERROR(MIN(F30,MAX(0,SUMIFS(F$4:F30,K$4:K30,K30)-TIME(0,0,0)-40/24)),0)</f>
        <v/>
      </c>
      <c r="I30" s="12">
        <f>IFERROR(IF(F30=0,0,MAX(0,MIN(D30,29/24)-MAX(C30,22/24))),0)</f>
        <v/>
      </c>
      <c r="J30" s="11" t="inlineStr"/>
      <c r="K30" s="10">
        <f>IFERROR(A30-WEEKDAY(A30,2)+1,"")</f>
        <v/>
      </c>
    </row>
    <row r="31">
      <c r="A31" s="10" t="n">
        <v>46109</v>
      </c>
      <c r="B31" s="11">
        <f>TEXT(A31,"aaa")</f>
        <v/>
      </c>
      <c r="C31" s="8" t="n">
        <v>0.2916666666666667</v>
      </c>
      <c r="D31" s="8" t="n">
        <v>0.4166666666666667</v>
      </c>
      <c r="E31" s="12">
        <f>IFERROR(IF(D31-C31&gt;TIME(9,0,0),TIME(1,0,0),IF(D31-C31&gt;TIME(6,0,0),TIME(0,45,0),0)),0)</f>
        <v/>
      </c>
      <c r="F31" s="12">
        <f>IFERROR(IF(OR(C31="",D31="",D31&lt;=C31),0,D31-C31-E31),0)</f>
        <v/>
      </c>
      <c r="G31" s="12" t="n">
        <v>0</v>
      </c>
      <c r="H31" s="12">
        <f>IFERROR(MIN(F31,MAX(0,SUMIFS(F$4:F31,K$4:K31,K31)-TIME(0,0,0)-40/24)),0)</f>
        <v/>
      </c>
      <c r="I31" s="12">
        <f>IFERROR(IF(F31=0,0,MAX(0,MIN(D31,29/24)-MAX(C31,22/24))),0)</f>
        <v/>
      </c>
      <c r="J31" s="11" t="inlineStr"/>
      <c r="K31" s="10">
        <f>IFERROR(A31-WEEKDAY(A31,2)+1,"")</f>
        <v/>
      </c>
    </row>
    <row r="32">
      <c r="A32" s="13" t="n">
        <v>46110</v>
      </c>
      <c r="B32" s="14">
        <f>TEXT(A32,"aaa")</f>
        <v/>
      </c>
      <c r="C32" s="8" t="n"/>
      <c r="D32" s="8" t="n"/>
      <c r="E32" s="15">
        <f>IFERROR(IF(D32-C32&gt;TIME(9,0,0),TIME(1,0,0),IF(D32-C32&gt;TIME(6,0,0),TIME(0,45,0),0)),0)</f>
        <v/>
      </c>
      <c r="F32" s="15">
        <f>IFERROR(IF(OR(C32="",D32="",D32&lt;=C32),0,D32-C32-E32),0)</f>
        <v/>
      </c>
      <c r="G32" s="15" t="n">
        <v>0</v>
      </c>
      <c r="H32" s="15">
        <f>IFERROR(MIN(F32,MAX(0,SUMIFS(F$4:F32,K$4:K32,K32)-TIME(0,0,0)-40/24)),0)</f>
        <v/>
      </c>
      <c r="I32" s="15">
        <f>IFERROR(IF(F32=0,0,MAX(0,MIN(D32,29/24)-MAX(C32,22/24))),0)</f>
        <v/>
      </c>
      <c r="J32" s="14" t="inlineStr">
        <is>
          <t>日曜</t>
        </is>
      </c>
      <c r="K32" s="13">
        <f>IFERROR(A32-WEEKDAY(A32,2)+1,"")</f>
        <v/>
      </c>
    </row>
    <row r="33">
      <c r="A33" s="10" t="n">
        <v>46111</v>
      </c>
      <c r="B33" s="11">
        <f>TEXT(A33,"aaa")</f>
        <v/>
      </c>
      <c r="C33" s="8" t="n">
        <v>0.2916666666666667</v>
      </c>
      <c r="D33" s="8" t="n">
        <v>0.4479166666666667</v>
      </c>
      <c r="E33" s="12">
        <f>IFERROR(IF(D33-C33&gt;TIME(9,0,0),TIME(1,0,0),IF(D33-C33&gt;TIME(6,0,0),TIME(0,45,0),0)),0)</f>
        <v/>
      </c>
      <c r="F33" s="12">
        <f>IFERROR(IF(OR(C33="",D33="",D33&lt;=C33),0,D33-C33-E33),0)</f>
        <v/>
      </c>
      <c r="G33" s="12" t="n">
        <v>0</v>
      </c>
      <c r="H33" s="12">
        <f>IFERROR(MIN(F33,MAX(0,SUMIFS(F$4:F33,K$4:K33,K33)-TIME(0,0,0)-40/24)),0)</f>
        <v/>
      </c>
      <c r="I33" s="12">
        <f>IFERROR(IF(F33=0,0,MAX(0,MIN(D33,29/24)-MAX(C33,22/24))),0)</f>
        <v/>
      </c>
      <c r="J33" s="11" t="inlineStr"/>
      <c r="K33" s="10">
        <f>IFERROR(A33-WEEKDAY(A33,2)+1,"")</f>
        <v/>
      </c>
    </row>
    <row r="34">
      <c r="A34" s="10" t="n">
        <v>46112</v>
      </c>
      <c r="B34" s="11">
        <f>TEXT(A34,"aaa")</f>
        <v/>
      </c>
      <c r="C34" s="8" t="n">
        <v>0.2916666666666667</v>
      </c>
      <c r="D34" s="8" t="n">
        <v>0.4479166666666667</v>
      </c>
      <c r="E34" s="12">
        <f>IFERROR(IF(D34-C34&gt;TIME(9,0,0),TIME(1,0,0),IF(D34-C34&gt;TIME(6,0,0),TIME(0,45,0),0)),0)</f>
        <v/>
      </c>
      <c r="F34" s="12">
        <f>IFERROR(IF(OR(C34="",D34="",D34&lt;=C34),0,D34-C34-E34),0)</f>
        <v/>
      </c>
      <c r="G34" s="12" t="n">
        <v>0</v>
      </c>
      <c r="H34" s="12">
        <f>IFERROR(MIN(F34,MAX(0,SUMIFS(F$4:F34,K$4:K34,K34)-TIME(0,0,0)-40/24)),0)</f>
        <v/>
      </c>
      <c r="I34" s="12">
        <f>IFERROR(IF(F34=0,0,MAX(0,MIN(D34,29/24)-MAX(C34,22/24))),0)</f>
        <v/>
      </c>
      <c r="J34" s="11" t="inlineStr"/>
      <c r="K34" s="10">
        <f>IFERROR(A34-WEEKDAY(A34,2)+1,"")</f>
        <v/>
      </c>
    </row>
    <row r="35">
      <c r="A35" s="16" t="inlineStr">
        <is>
          <t>合計</t>
        </is>
      </c>
      <c r="B35" s="16">
        <f>COUNTIF(F4:F34,"&gt;0")&amp;"日"</f>
        <v/>
      </c>
      <c r="C35" s="16" t="n"/>
      <c r="D35" s="16" t="n"/>
      <c r="E35" s="16" t="n"/>
      <c r="F35" s="17">
        <f>SUM(F4:F34)</f>
        <v/>
      </c>
      <c r="G35" s="17">
        <f>SUM(G4:G34)</f>
        <v/>
      </c>
      <c r="H35" s="17">
        <f>SUM(H4:H34)</f>
        <v/>
      </c>
      <c r="I35" s="17">
        <f>SUM(I4:I34)</f>
        <v/>
      </c>
      <c r="J35" s="16" t="n"/>
      <c r="K35" s="16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2026-04-14T00:07:23Z</dcterms:created>
  <dcterms:modified xsi:type="dcterms:W3CDTF">2026-04-14T00:07:23Z</dcterms:modified>
</cp:coreProperties>
</file>